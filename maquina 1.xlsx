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k (500)" sheetId="1" r:id="rId4"/>
    <sheet state="visible" name="fork (700)" sheetId="2" r:id="rId5"/>
    <sheet state="visible" name="fork (900)" sheetId="3" r:id="rId6"/>
    <sheet state="visible" name="fork (1200)" sheetId="4" r:id="rId7"/>
    <sheet state="visible" name="fork (1500)" sheetId="5" r:id="rId8"/>
    <sheet state="visible" name="fork (1700)" sheetId="6" r:id="rId9"/>
    <sheet state="visible" name="fork (2000)" sheetId="7" r:id="rId10"/>
    <sheet state="visible" name="posix (500)" sheetId="8" r:id="rId11"/>
    <sheet state="visible" name="posix (700)" sheetId="9" r:id="rId12"/>
    <sheet state="visible" name="posix (900)" sheetId="10" r:id="rId13"/>
    <sheet state="visible" name="posix(1200)" sheetId="11" r:id="rId14"/>
    <sheet state="visible" name="posix(1500)" sheetId="12" r:id="rId15"/>
    <sheet state="visible" name="posix(1700)" sheetId="13" r:id="rId16"/>
    <sheet state="visible" name="posix(2000)" sheetId="14" r:id="rId17"/>
    <sheet state="visible" name="clasicaOpen(500)" sheetId="15" r:id="rId18"/>
    <sheet state="visible" name="clasicaOpen(700)" sheetId="16" r:id="rId19"/>
    <sheet state="visible" name="clasicaOpen(900)" sheetId="17" r:id="rId20"/>
    <sheet state="visible" name="clasicaOpen(1200)" sheetId="18" r:id="rId21"/>
    <sheet state="visible" name="clasicaOpen(1500)" sheetId="19" r:id="rId22"/>
    <sheet state="visible" name="clasicaOpen(1700)" sheetId="20" r:id="rId23"/>
    <sheet state="visible" name="clasicaOpen(2000)" sheetId="21" r:id="rId24"/>
    <sheet state="visible" name="filasOpenMp(500)" sheetId="22" r:id="rId25"/>
    <sheet state="visible" name="filasOpenMp(700)" sheetId="23" r:id="rId26"/>
    <sheet state="visible" name="filasOpenMp(900)" sheetId="24" r:id="rId27"/>
    <sheet state="visible" name="filasOpenMp(1200)" sheetId="25" r:id="rId28"/>
    <sheet state="visible" name="filasOpenMp(1500)" sheetId="26" r:id="rId29"/>
    <sheet state="visible" name="filasOpenMp(1700)" sheetId="27" r:id="rId30"/>
    <sheet state="visible" name="filasOpenMp(2000)" sheetId="28" r:id="rId31"/>
  </sheets>
  <definedNames/>
  <calcPr/>
</workbook>
</file>

<file path=xl/sharedStrings.xml><?xml version="1.0" encoding="utf-8"?>
<sst xmlns="http://schemas.openxmlformats.org/spreadsheetml/2006/main" count="295" uniqueCount="156">
  <si>
    <t>mmClasicaFork (500) 1 proceso</t>
  </si>
  <si>
    <t>mmClasicaFork (500) 2 proceso</t>
  </si>
  <si>
    <t>mmClasicaFork (500) 4 proceso</t>
  </si>
  <si>
    <t>mmClasicaFork (500) 8 proceso</t>
  </si>
  <si>
    <t>mmClasicaFork (500) 12 proceso</t>
  </si>
  <si>
    <t>Promedio</t>
  </si>
  <si>
    <t>Desviación estandar</t>
  </si>
  <si>
    <t xml:space="preserve"> </t>
  </si>
  <si>
    <t>tiempo promedio</t>
  </si>
  <si>
    <t>Procesos</t>
  </si>
  <si>
    <t>mmClasicaFork (700) 1 proceso</t>
  </si>
  <si>
    <t>mmClasicaFork (700) 2 proceso</t>
  </si>
  <si>
    <t>mmClasicaFork (700) 4 proceso</t>
  </si>
  <si>
    <t>mmClasicaFork (700) 8 proceso</t>
  </si>
  <si>
    <t>mmClasicaFork (700) 12 proceso</t>
  </si>
  <si>
    <t>promedio</t>
  </si>
  <si>
    <t>Desviacion Estandar</t>
  </si>
  <si>
    <t>Desviacion estandar</t>
  </si>
  <si>
    <t>mmClasicaFork (900) 1 proceso</t>
  </si>
  <si>
    <t>mmClasicaFork (900) 2 proceso</t>
  </si>
  <si>
    <t>mmClasicaFork (900) 4 proceso</t>
  </si>
  <si>
    <t>mmClasicaFork (900) 8 proceso</t>
  </si>
  <si>
    <t>mmClasicaFork (900) 12 proceso</t>
  </si>
  <si>
    <t>Tiempo Promedio</t>
  </si>
  <si>
    <t>mmClasicaFork (1200) 1 proceso</t>
  </si>
  <si>
    <t>mmClasicaFork (1200) 2 proceso</t>
  </si>
  <si>
    <t>mmClasicaFork (1200) 4 proceso</t>
  </si>
  <si>
    <t>mmClasicaFork (1200) 8 proceso</t>
  </si>
  <si>
    <t>mmClasicaFork (1200) 12 proceso</t>
  </si>
  <si>
    <t>mmClasicaFork (1500) 1 proceso</t>
  </si>
  <si>
    <t>mmClasicaFork (1500) 2 proceso</t>
  </si>
  <si>
    <t>mmClasicaFork (1500) 4 proceso</t>
  </si>
  <si>
    <t>mmClasicaFork (1500) 8 proceso</t>
  </si>
  <si>
    <t>mmClasicaFork (1500) 12 proceso</t>
  </si>
  <si>
    <t>mmClasicaFork (1700) 1 proceso</t>
  </si>
  <si>
    <t>mmClasicaFork (1700) 2 proceso</t>
  </si>
  <si>
    <t>mmClasicaFork (1700) 4 proceso</t>
  </si>
  <si>
    <t>mmClasicaFork (1700) 8 proceso</t>
  </si>
  <si>
    <t>mmClasicaFork (1700) 12 proceso</t>
  </si>
  <si>
    <t>mmClasicaFork (2000) 1 proceso</t>
  </si>
  <si>
    <t>mmClasicaFork (2000) 2 proceso</t>
  </si>
  <si>
    <t>mmClasicaFork (2000) 4 proceso</t>
  </si>
  <si>
    <t>mmClasicaFork (2000) 8 proceso</t>
  </si>
  <si>
    <t>mmClasicaFork (2000) 12 proceso</t>
  </si>
  <si>
    <t>mmClasicaPosix (500) 1 hilo</t>
  </si>
  <si>
    <t>mmClasicaPosix (500) 2 hilo</t>
  </si>
  <si>
    <t>mmClasicaPosix (500) 4 hilo</t>
  </si>
  <si>
    <t>mmClasicaPosix (500) 8 hilo</t>
  </si>
  <si>
    <t>mmClasicaPosix (500) 12 hilo</t>
  </si>
  <si>
    <t>Hilos</t>
  </si>
  <si>
    <t>mmClasicaPosix (700) 1 hilo</t>
  </si>
  <si>
    <t>mmClasicaPosix (700) 2 hilo</t>
  </si>
  <si>
    <t>mmClasicaPosix (700) 4 hilo</t>
  </si>
  <si>
    <t>mmClasicaPosix (700) 8 hilo</t>
  </si>
  <si>
    <t>mmClasicaPosix (700) 12 hilo</t>
  </si>
  <si>
    <t>mmClasicaPosix(500x500)</t>
  </si>
  <si>
    <t>mmClasicaPosix (900) 1 hilo</t>
  </si>
  <si>
    <t>mmClasicaPosix (900) 2 hilo</t>
  </si>
  <si>
    <t>mmClasicaPosix (900) 4 hilo</t>
  </si>
  <si>
    <t>mmClasicaPosix (900) 8 hilo</t>
  </si>
  <si>
    <t>mmClasicaPosix (900) 12 hilo</t>
  </si>
  <si>
    <t>Tiempo promedio</t>
  </si>
  <si>
    <t>mmClasicaPosix (1200) 1 hilo</t>
  </si>
  <si>
    <t>mmClasicaPosix (1200) 2 hilo</t>
  </si>
  <si>
    <t>mmClasicaPosix (1200) 4 hilo</t>
  </si>
  <si>
    <t>mmClasicaPosix (1200) 8 hilo</t>
  </si>
  <si>
    <t>mmClasicaPosix (1200) 12 hilo</t>
  </si>
  <si>
    <t>mmClasicaPosix (1500) 1 hilo</t>
  </si>
  <si>
    <t>mmClasicaPosix (1500) 2 hilo</t>
  </si>
  <si>
    <t>mmClasicaPosix (1500) 4 hilo</t>
  </si>
  <si>
    <t>mmClasicaPosix (1500) 8 hilo</t>
  </si>
  <si>
    <t>mmClasicaPosix (1500) 12 hilo</t>
  </si>
  <si>
    <t>mmClasicaPosix (1700) 1 hilo</t>
  </si>
  <si>
    <t>mmClasicaPosix (1700) 2 hilo</t>
  </si>
  <si>
    <t>mmClasicaPosix (1700) 4 hilo</t>
  </si>
  <si>
    <t>mmClasicaPosix (1700) 8 hilo</t>
  </si>
  <si>
    <t>mmClasicaPosix (1700) 12 hilo</t>
  </si>
  <si>
    <t>mmClasicaPosix (1700x1700)</t>
  </si>
  <si>
    <t>mmClasicaPosix (2000) 1 hilo</t>
  </si>
  <si>
    <t>mmClasicaPosix (2000) 2 hilo</t>
  </si>
  <si>
    <t>mmClasicaPosix (2000) 4 hilo</t>
  </si>
  <si>
    <t>mmClasicaPosix (2000) 8 hilo</t>
  </si>
  <si>
    <t>mmClasicaPosix (2000) 12 hilo</t>
  </si>
  <si>
    <t>mmClasicaOpenMP (500) 1 hilo</t>
  </si>
  <si>
    <t>mmClasicaOpenMP (500) 2 hilo</t>
  </si>
  <si>
    <t>mmClasicaOpenMP (500) 4 hilo</t>
  </si>
  <si>
    <t>mmClasicaOpenMP (500) 8 hilo</t>
  </si>
  <si>
    <t>mmClasicaOpenMP (500) 12 hilo</t>
  </si>
  <si>
    <t>mmClasicaOpenMP (700) 1 hilo</t>
  </si>
  <si>
    <t>mmClasicaOpenMP (700) 2 hilo</t>
  </si>
  <si>
    <t>mmClasicaOpenMP (700) 4 hilo</t>
  </si>
  <si>
    <t>mmClasicaOpenMP (700) 8 hilo</t>
  </si>
  <si>
    <t>mmClasicaOpenMP (700) 12 hilo</t>
  </si>
  <si>
    <t>mmClasicaOpenMP(700x700)</t>
  </si>
  <si>
    <t>mmClasicaOpenMP (900) 1 hilo</t>
  </si>
  <si>
    <t>mmClasicaOpenMP (900) 2 hilo</t>
  </si>
  <si>
    <t>mmClasicaOpenMP (900) 4 hilo</t>
  </si>
  <si>
    <t>mmClasicaOpenMP (900) 8 hilo</t>
  </si>
  <si>
    <t>mmClasicaOpenMP (900) 12 hilo</t>
  </si>
  <si>
    <t>mmClasicaOpenMP(900x900)</t>
  </si>
  <si>
    <t>mmClasicaOpenMP(1200x1200)</t>
  </si>
  <si>
    <t>mmClasicaOpenMP (1500) 1 hilo</t>
  </si>
  <si>
    <t>mmClasicaOpenMP (1500) 2 hilo</t>
  </si>
  <si>
    <t>mmClasicaOpenMP (1500) 4 hilo</t>
  </si>
  <si>
    <t>mmClasicaOpenMP (1500) 8 hilo</t>
  </si>
  <si>
    <t>mmClasicaOpenMP (1500) 12 hilo</t>
  </si>
  <si>
    <t>mmClasicaOpenMP(1500x1500)</t>
  </si>
  <si>
    <t>mmClasicaOpenMP (1700) 1 hilo</t>
  </si>
  <si>
    <t>mmClasicaOpenMP (1700) 2 hilo</t>
  </si>
  <si>
    <t>mmClasicaOpenMP (1700) 8 hilo</t>
  </si>
  <si>
    <t>mmClasicaOpenMP (1700) 12 hilo</t>
  </si>
  <si>
    <t>mmClasicaOpenMP(1700x1700)</t>
  </si>
  <si>
    <t>HIlos</t>
  </si>
  <si>
    <t>mmClasicaOpenMP(2000x2000)</t>
  </si>
  <si>
    <t>filasOpenMP (500) 1 hilo</t>
  </si>
  <si>
    <t>filasOpenMP (500) 2 hilo</t>
  </si>
  <si>
    <t>filasOpenMP (500) 4 hilo</t>
  </si>
  <si>
    <t>filasOpenMP (500) 8 hilo</t>
  </si>
  <si>
    <t>filasOpenMP (500) 12 hilo</t>
  </si>
  <si>
    <t>filasOpenMP (500x500)</t>
  </si>
  <si>
    <t>filasOpenMP (700) 1 hilo</t>
  </si>
  <si>
    <t>filasOpenMP (700) 2 hilo</t>
  </si>
  <si>
    <t>filasOpenMP (700) 4 hilo</t>
  </si>
  <si>
    <t>filasOpenMP (700) 8 hilo</t>
  </si>
  <si>
    <t>filasOpenMP (700) 12 hilo</t>
  </si>
  <si>
    <t>filasOpenMP(700x700)</t>
  </si>
  <si>
    <t>filasOpenMP (900) 1 hilo</t>
  </si>
  <si>
    <t>filasOpenMP (900) 2 hilo</t>
  </si>
  <si>
    <t>filasOpenMP (900) 4 hilo</t>
  </si>
  <si>
    <t>filasOpenMP (900) 8 hilo</t>
  </si>
  <si>
    <t>filasOpenMP (900) 12 hilo</t>
  </si>
  <si>
    <t>filasOpenMP(900x900)</t>
  </si>
  <si>
    <t>filasOpenMP (1200) 1 hilo</t>
  </si>
  <si>
    <t>filasOpenMP (1200) 2 hilo</t>
  </si>
  <si>
    <t>filasOpenMP (1200) 4 hilo</t>
  </si>
  <si>
    <t>filasOpenMP (1200) 8 hilo</t>
  </si>
  <si>
    <t>filasOpenMP (1200) 12 hilo</t>
  </si>
  <si>
    <t>filasOpenMP(1200x1200)</t>
  </si>
  <si>
    <t>filasOpenMP (1500) 1 hilo</t>
  </si>
  <si>
    <t>filasOpenMP (1500) 2 hilo</t>
  </si>
  <si>
    <t>filasOpenMP (1500) 4 hilo</t>
  </si>
  <si>
    <t>filasOpenMP (1500) 8 hilo</t>
  </si>
  <si>
    <t>filasOpenMP (1500) 12 hilo</t>
  </si>
  <si>
    <t>filasOpenMP(1500x1500)</t>
  </si>
  <si>
    <t>filasOpenMP (1700) 1 hilo</t>
  </si>
  <si>
    <t>filasOpenMP (1700) 2 hilo</t>
  </si>
  <si>
    <t>filasOpenMP (1700) 4 hilo</t>
  </si>
  <si>
    <t>filasOpenMP (1700) 8 hilo</t>
  </si>
  <si>
    <t>filasOpenMP (1700) 12 hilo</t>
  </si>
  <si>
    <t>filasOpenMP(1700x1700)</t>
  </si>
  <si>
    <t>filasOpenMP (2000) 1 hilo</t>
  </si>
  <si>
    <t>filasOpenMP (2000) 2 hilo</t>
  </si>
  <si>
    <t>filasOpenMP (2000) 4 hilo</t>
  </si>
  <si>
    <t>filasOpenMP (2000) 8 hilo</t>
  </si>
  <si>
    <t>filasOpenMP (2000) 12 hilo</t>
  </si>
  <si>
    <t>filasOpenMP(2000x2000)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</si>
</sst>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(500x500)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(500)'!$A$42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(500)'!$B$43:$B$47</c:f>
            </c:strRef>
          </c:cat>
          <c:val>
            <c:numRef>
              <c:f>'fork (500)'!$A$43:$A$47</c:f>
              <c:numCache/>
            </c:numRef>
          </c:val>
        </c:ser>
        <c:ser>
          <c:idx val="1"/>
          <c:order val="1"/>
          <c:tx>
            <c:strRef>
              <c:f>'fork (500)'!$B$42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(500)'!$B$43:$B$47</c:f>
            </c:strRef>
          </c:cat>
          <c:val>
            <c:numRef>
              <c:f>'fork (500)'!$B$43:$B$47</c:f>
              <c:numCache/>
            </c:numRef>
          </c:val>
        </c:ser>
        <c:axId val="592846952"/>
        <c:axId val="416469081"/>
      </c:bar3DChart>
      <c:catAx>
        <c:axId val="592846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469081"/>
      </c:catAx>
      <c:valAx>
        <c:axId val="41646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846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(700x700)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(700)'!$B$37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(700)'!$C$38:$C$42</c:f>
            </c:strRef>
          </c:cat>
          <c:val>
            <c:numRef>
              <c:f>'fork (700)'!$B$38:$B$42</c:f>
              <c:numCache/>
            </c:numRef>
          </c:val>
        </c:ser>
        <c:ser>
          <c:idx val="1"/>
          <c:order val="1"/>
          <c:tx>
            <c:strRef>
              <c:f>'fork (700)'!$C$37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(700)'!$C$38:$C$42</c:f>
            </c:strRef>
          </c:cat>
          <c:val>
            <c:numRef>
              <c:f>'fork (700)'!$C$38:$C$42</c:f>
              <c:numCache/>
            </c:numRef>
          </c:val>
        </c:ser>
        <c:axId val="541549158"/>
        <c:axId val="1907152527"/>
      </c:bar3DChart>
      <c:catAx>
        <c:axId val="541549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152527"/>
      </c:catAx>
      <c:valAx>
        <c:axId val="1907152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549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(900x900)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(900)'!$B$37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(900)'!$C$38:$C$42</c:f>
            </c:strRef>
          </c:cat>
          <c:val>
            <c:numRef>
              <c:f>'fork (900)'!$B$38:$B$42</c:f>
              <c:numCache/>
            </c:numRef>
          </c:val>
        </c:ser>
        <c:ser>
          <c:idx val="1"/>
          <c:order val="1"/>
          <c:tx>
            <c:strRef>
              <c:f>'fork (900)'!$C$37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(900)'!$C$38:$C$42</c:f>
            </c:strRef>
          </c:cat>
          <c:val>
            <c:numRef>
              <c:f>'fork (900)'!$C$38:$C$42</c:f>
              <c:numCache/>
            </c:numRef>
          </c:val>
        </c:ser>
        <c:axId val="1562290889"/>
        <c:axId val="1373519015"/>
      </c:bar3DChart>
      <c:catAx>
        <c:axId val="1562290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519015"/>
      </c:catAx>
      <c:valAx>
        <c:axId val="1373519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290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(1200x1200)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(1200)'!$B$37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(1200)'!$C$38:$C$42</c:f>
            </c:strRef>
          </c:cat>
          <c:val>
            <c:numRef>
              <c:f>'fork (1200)'!$B$38:$B$42</c:f>
              <c:numCache/>
            </c:numRef>
          </c:val>
        </c:ser>
        <c:ser>
          <c:idx val="1"/>
          <c:order val="1"/>
          <c:tx>
            <c:strRef>
              <c:f>'fork (1200)'!$C$37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(1200)'!$C$38:$C$42</c:f>
            </c:strRef>
          </c:cat>
          <c:val>
            <c:numRef>
              <c:f>'fork (1200)'!$C$38:$C$42</c:f>
              <c:numCache/>
            </c:numRef>
          </c:val>
        </c:ser>
        <c:axId val="262114530"/>
        <c:axId val="813745392"/>
      </c:bar3DChart>
      <c:catAx>
        <c:axId val="262114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745392"/>
      </c:catAx>
      <c:valAx>
        <c:axId val="813745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114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(1500x1500)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(1500)'!$B$39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(1500)'!$C$40:$C$44</c:f>
            </c:strRef>
          </c:cat>
          <c:val>
            <c:numRef>
              <c:f>'fork (1500)'!$B$40:$B$44</c:f>
              <c:numCache/>
            </c:numRef>
          </c:val>
        </c:ser>
        <c:ser>
          <c:idx val="1"/>
          <c:order val="1"/>
          <c:tx>
            <c:strRef>
              <c:f>'fork (1500)'!$C$39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(1500)'!$C$40:$C$44</c:f>
            </c:strRef>
          </c:cat>
          <c:val>
            <c:numRef>
              <c:f>'fork (1500)'!$C$40:$C$44</c:f>
              <c:numCache/>
            </c:numRef>
          </c:val>
        </c:ser>
        <c:axId val="1697101854"/>
        <c:axId val="98321335"/>
      </c:bar3DChart>
      <c:catAx>
        <c:axId val="169710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21335"/>
      </c:catAx>
      <c:valAx>
        <c:axId val="98321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101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(1700x1700)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(1700)'!$B$38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(1700)'!$C$39:$C$43</c:f>
            </c:strRef>
          </c:cat>
          <c:val>
            <c:numRef>
              <c:f>'fork (1700)'!$B$39:$B$43</c:f>
              <c:numCache/>
            </c:numRef>
          </c:val>
        </c:ser>
        <c:ser>
          <c:idx val="1"/>
          <c:order val="1"/>
          <c:tx>
            <c:strRef>
              <c:f>'fork (1700)'!$C$38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(1700)'!$C$39:$C$43</c:f>
            </c:strRef>
          </c:cat>
          <c:val>
            <c:numRef>
              <c:f>'fork (1700)'!$C$39:$C$43</c:f>
              <c:numCache/>
            </c:numRef>
          </c:val>
        </c:ser>
        <c:axId val="779028445"/>
        <c:axId val="1583754734"/>
      </c:bar3DChart>
      <c:catAx>
        <c:axId val="77902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754734"/>
      </c:catAx>
      <c:valAx>
        <c:axId val="1583754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028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mmClasicaFork (2000x2000)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'fork (2000)'!$B$38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'fork (2000)'!$C$39:$C$43</c:f>
            </c:strRef>
          </c:cat>
          <c:val>
            <c:numRef>
              <c:f>'fork (2000)'!$B$39:$B$43</c:f>
              <c:numCache/>
            </c:numRef>
          </c:val>
        </c:ser>
        <c:ser>
          <c:idx val="1"/>
          <c:order val="1"/>
          <c:tx>
            <c:strRef>
              <c:f>'fork (2000)'!$C$38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'fork (2000)'!$C$39:$C$43</c:f>
            </c:strRef>
          </c:cat>
          <c:val>
            <c:numRef>
              <c:f>'fork (2000)'!$C$39:$C$43</c:f>
              <c:numCache/>
            </c:numRef>
          </c:val>
        </c:ser>
        <c:axId val="743946470"/>
        <c:axId val="1904037088"/>
      </c:bar3DChart>
      <c:catAx>
        <c:axId val="743946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037088"/>
      </c:catAx>
      <c:valAx>
        <c:axId val="1904037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946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mmClasicaPosix(500x500)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(500)'!$B$38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(500)'!$C$39:$C$43</c:f>
            </c:strRef>
          </c:cat>
          <c:val>
            <c:numRef>
              <c:f>'posix (500)'!$B$39:$B$43</c:f>
              <c:numCache/>
            </c:numRef>
          </c:val>
        </c:ser>
        <c:ser>
          <c:idx val="1"/>
          <c:order val="1"/>
          <c:tx>
            <c:strRef>
              <c:f>'posix (500)'!$C$38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(500)'!$C$39:$C$43</c:f>
            </c:strRef>
          </c:cat>
          <c:val>
            <c:numRef>
              <c:f>'posix (500)'!$C$39:$C$43</c:f>
              <c:numCache/>
            </c:numRef>
          </c:val>
        </c:ser>
        <c:axId val="1907340402"/>
        <c:axId val="1136877787"/>
      </c:bar3DChart>
      <c:catAx>
        <c:axId val="1907340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877787"/>
      </c:catAx>
      <c:valAx>
        <c:axId val="1136877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40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mmClasicaPosix(700x700)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(700)'!$B$37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(700)'!$C$38:$C$42</c:f>
            </c:strRef>
          </c:cat>
          <c:val>
            <c:numRef>
              <c:f>'posix (700)'!$B$38:$B$42</c:f>
              <c:numCache/>
            </c:numRef>
          </c:val>
        </c:ser>
        <c:ser>
          <c:idx val="1"/>
          <c:order val="1"/>
          <c:tx>
            <c:strRef>
              <c:f>'posix (700)'!$C$37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(700)'!$C$38:$C$42</c:f>
            </c:strRef>
          </c:cat>
          <c:val>
            <c:numRef>
              <c:f>'posix (700)'!$C$38:$C$42</c:f>
              <c:numCache/>
            </c:numRef>
          </c:val>
        </c:ser>
        <c:axId val="470137756"/>
        <c:axId val="1281962296"/>
      </c:bar3DChart>
      <c:catAx>
        <c:axId val="470137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962296"/>
      </c:catAx>
      <c:valAx>
        <c:axId val="1281962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137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mmClasicaPosix(900x900)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 (900)'!$B$36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 (900)'!$C$37:$C$41</c:f>
            </c:strRef>
          </c:cat>
          <c:val>
            <c:numRef>
              <c:f>'posix (900)'!$B$37:$B$41</c:f>
              <c:numCache/>
            </c:numRef>
          </c:val>
        </c:ser>
        <c:ser>
          <c:idx val="1"/>
          <c:order val="1"/>
          <c:tx>
            <c:strRef>
              <c:f>'posix (900)'!$C$36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 (900)'!$C$37:$C$41</c:f>
            </c:strRef>
          </c:cat>
          <c:val>
            <c:numRef>
              <c:f>'posix (900)'!$C$37:$C$41</c:f>
              <c:numCache/>
            </c:numRef>
          </c:val>
        </c:ser>
        <c:axId val="1798895883"/>
        <c:axId val="1648578726"/>
      </c:bar3DChart>
      <c:catAx>
        <c:axId val="1798895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578726"/>
      </c:catAx>
      <c:valAx>
        <c:axId val="1648578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895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 (1200)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'posix(1200)'!$B$37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'posix(1200)'!$C$38:$C$42</c:f>
            </c:strRef>
          </c:cat>
          <c:val>
            <c:numRef>
              <c:f>'posix(1200)'!$B$38:$B$42</c:f>
              <c:numCache/>
            </c:numRef>
          </c:val>
        </c:ser>
        <c:ser>
          <c:idx val="1"/>
          <c:order val="1"/>
          <c:tx>
            <c:strRef>
              <c:f>'posix(1200)'!$C$37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'posix(1200)'!$C$38:$C$42</c:f>
            </c:strRef>
          </c:cat>
          <c:val>
            <c:numRef>
              <c:f>'posix(1200)'!$C$38:$C$42</c:f>
              <c:numCache/>
            </c:numRef>
          </c:val>
        </c:ser>
        <c:axId val="226222328"/>
        <c:axId val="1428725946"/>
      </c:bar3DChart>
      <c:catAx>
        <c:axId val="226222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725946"/>
      </c:catAx>
      <c:valAx>
        <c:axId val="1428725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222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 (1500x1500)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'posix(1500)'!$B$37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'posix(1500)'!$C$38:$C$42</c:f>
            </c:strRef>
          </c:cat>
          <c:val>
            <c:numRef>
              <c:f>'posix(1500)'!$B$38:$B$42</c:f>
              <c:numCache/>
            </c:numRef>
          </c:val>
        </c:ser>
        <c:ser>
          <c:idx val="1"/>
          <c:order val="1"/>
          <c:tx>
            <c:strRef>
              <c:f>'posix(1500)'!$C$37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'posix(1500)'!$C$38:$C$42</c:f>
            </c:strRef>
          </c:cat>
          <c:val>
            <c:numRef>
              <c:f>'posix(1500)'!$C$38:$C$42</c:f>
              <c:numCache/>
            </c:numRef>
          </c:val>
        </c:ser>
        <c:axId val="2123479879"/>
        <c:axId val="912854213"/>
      </c:bar3DChart>
      <c:catAx>
        <c:axId val="2123479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854213"/>
      </c:catAx>
      <c:valAx>
        <c:axId val="91285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479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mmClasicaPosix(1700x1700)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'posix(1700)'!$B$38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'posix(1700)'!$C$39:$C$43</c:f>
            </c:strRef>
          </c:cat>
          <c:val>
            <c:numRef>
              <c:f>'posix(1700)'!$B$39:$B$43</c:f>
              <c:numCache/>
            </c:numRef>
          </c:val>
        </c:ser>
        <c:ser>
          <c:idx val="1"/>
          <c:order val="1"/>
          <c:tx>
            <c:strRef>
              <c:f>'posix(1700)'!$C$38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'posix(1700)'!$C$39:$C$43</c:f>
            </c:strRef>
          </c:cat>
          <c:val>
            <c:numRef>
              <c:f>'posix(1700)'!$C$39:$C$43</c:f>
              <c:numCache/>
            </c:numRef>
          </c:val>
        </c:ser>
        <c:axId val="84728568"/>
        <c:axId val="662041546"/>
      </c:bar3DChart>
      <c:catAx>
        <c:axId val="84728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041546"/>
      </c:catAx>
      <c:valAx>
        <c:axId val="662041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28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mmClasicaPosix (2000x2000)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'posix(2000)'!$B$37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'posix(2000)'!$C$38:$C$42</c:f>
            </c:strRef>
          </c:cat>
          <c:val>
            <c:numRef>
              <c:f>'posix(2000)'!$B$38:$B$42</c:f>
              <c:numCache/>
            </c:numRef>
          </c:val>
        </c:ser>
        <c:ser>
          <c:idx val="1"/>
          <c:order val="1"/>
          <c:tx>
            <c:strRef>
              <c:f>'posix(2000)'!$C$37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'posix(2000)'!$C$38:$C$42</c:f>
            </c:strRef>
          </c:cat>
          <c:val>
            <c:numRef>
              <c:f>'posix(2000)'!$C$38:$C$42</c:f>
              <c:numCache/>
            </c:numRef>
          </c:val>
        </c:ser>
        <c:axId val="1984120687"/>
        <c:axId val="1794862786"/>
      </c:bar3DChart>
      <c:catAx>
        <c:axId val="198412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862786"/>
      </c:catAx>
      <c:valAx>
        <c:axId val="1794862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1206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mmClasicaOpenMP(500x500)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'clasicaOpen(500)'!$B$38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'clasicaOpen(500)'!$C$39:$C$43</c:f>
            </c:strRef>
          </c:cat>
          <c:val>
            <c:numRef>
              <c:f>'clasicaOpen(500)'!$B$39:$B$43</c:f>
              <c:numCache/>
            </c:numRef>
          </c:val>
        </c:ser>
        <c:ser>
          <c:idx val="1"/>
          <c:order val="1"/>
          <c:tx>
            <c:strRef>
              <c:f>'clasicaOpen(500)'!$C$38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'clasicaOpen(500)'!$C$39:$C$43</c:f>
            </c:strRef>
          </c:cat>
          <c:val>
            <c:numRef>
              <c:f>'clasicaOpen(500)'!$C$39:$C$43</c:f>
              <c:numCache/>
            </c:numRef>
          </c:val>
        </c:ser>
        <c:axId val="212500809"/>
        <c:axId val="2119741925"/>
      </c:bar3DChart>
      <c:catAx>
        <c:axId val="212500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741925"/>
      </c:catAx>
      <c:valAx>
        <c:axId val="2119741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00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mmClasicaOpenMP(700x700)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'clasicaOpen(700)'!$B$39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'clasicaOpen(700)'!$B$40:$B$44</c:f>
              <c:numCache/>
            </c:numRef>
          </c:val>
        </c:ser>
        <c:ser>
          <c:idx val="1"/>
          <c:order val="1"/>
          <c:tx>
            <c:strRef>
              <c:f>'clasicaOpen(700)'!$C$39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'clasicaOpen(700)'!$C$40:$C$44</c:f>
              <c:numCache/>
            </c:numRef>
          </c:val>
        </c:ser>
        <c:axId val="2060295266"/>
        <c:axId val="703479362"/>
      </c:bar3DChart>
      <c:catAx>
        <c:axId val="2060295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479362"/>
      </c:catAx>
      <c:valAx>
        <c:axId val="703479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295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mmClasicaOpenMP(900x900)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'clasicaOpen(900)'!$C$38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'clasicaOpen(900)'!$D$39:$D$43</c:f>
            </c:strRef>
          </c:cat>
          <c:val>
            <c:numRef>
              <c:f>'clasicaOpen(900)'!$C$39:$C$43</c:f>
              <c:numCache/>
            </c:numRef>
          </c:val>
        </c:ser>
        <c:ser>
          <c:idx val="1"/>
          <c:order val="1"/>
          <c:tx>
            <c:strRef>
              <c:f>'clasicaOpen(900)'!$D$38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'clasicaOpen(900)'!$D$39:$D$43</c:f>
            </c:strRef>
          </c:cat>
          <c:val>
            <c:numRef>
              <c:f>'clasicaOpen(900)'!$D$39:$D$43</c:f>
              <c:numCache/>
            </c:numRef>
          </c:val>
        </c:ser>
        <c:axId val="1285328440"/>
        <c:axId val="1058361299"/>
      </c:bar3DChart>
      <c:catAx>
        <c:axId val="1285328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361299"/>
      </c:catAx>
      <c:valAx>
        <c:axId val="1058361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328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mmClasicaOpenMP(1200x1200)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'clasicaOpen(1200)'!$B$36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'clasicaOpen(1200)'!$C$37:$C$41</c:f>
            </c:strRef>
          </c:cat>
          <c:val>
            <c:numRef>
              <c:f>'clasicaOpen(1200)'!$B$37:$B$41</c:f>
              <c:numCache/>
            </c:numRef>
          </c:val>
        </c:ser>
        <c:ser>
          <c:idx val="1"/>
          <c:order val="1"/>
          <c:tx>
            <c:strRef>
              <c:f>'clasicaOpen(1200)'!$C$36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'clasicaOpen(1200)'!$C$37:$C$41</c:f>
            </c:strRef>
          </c:cat>
          <c:val>
            <c:numRef>
              <c:f>'clasicaOpen(1200)'!$C$37:$C$41</c:f>
              <c:numCache/>
            </c:numRef>
          </c:val>
        </c:ser>
        <c:axId val="965545153"/>
        <c:axId val="691919374"/>
      </c:bar3DChart>
      <c:catAx>
        <c:axId val="96554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919374"/>
      </c:catAx>
      <c:valAx>
        <c:axId val="691919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545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mmClasicaOpenMP(1500x1500)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'clasicaOpen(1500)'!$B$41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'clasicaOpen(1500)'!$C$42:$C$46</c:f>
            </c:strRef>
          </c:cat>
          <c:val>
            <c:numRef>
              <c:f>'clasicaOpen(1500)'!$B$42:$B$46</c:f>
              <c:numCache/>
            </c:numRef>
          </c:val>
        </c:ser>
        <c:ser>
          <c:idx val="1"/>
          <c:order val="1"/>
          <c:tx>
            <c:strRef>
              <c:f>'clasicaOpen(1500)'!$C$41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'clasicaOpen(1500)'!$C$42:$C$46</c:f>
            </c:strRef>
          </c:cat>
          <c:val>
            <c:numRef>
              <c:f>'clasicaOpen(1500)'!$C$42:$C$46</c:f>
              <c:numCache/>
            </c:numRef>
          </c:val>
        </c:ser>
        <c:axId val="522778093"/>
        <c:axId val="1483539699"/>
      </c:bar3DChart>
      <c:catAx>
        <c:axId val="522778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539699"/>
      </c:catAx>
      <c:valAx>
        <c:axId val="1483539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778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mmClasicaOpenMP(1700x1700)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'clasicaOpen(1700)'!$B$37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'clasicaOpen(1700)'!$C$38:$C$42</c:f>
            </c:strRef>
          </c:cat>
          <c:val>
            <c:numRef>
              <c:f>'clasicaOpen(1700)'!$B$38:$B$42</c:f>
              <c:numCache/>
            </c:numRef>
          </c:val>
        </c:ser>
        <c:ser>
          <c:idx val="1"/>
          <c:order val="1"/>
          <c:tx>
            <c:strRef>
              <c:f>'clasicaOpen(1700)'!$C$37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'clasicaOpen(1700)'!$C$38:$C$42</c:f>
            </c:strRef>
          </c:cat>
          <c:val>
            <c:numRef>
              <c:f>'clasicaOpen(1700)'!$C$38:$C$42</c:f>
              <c:numCache/>
            </c:numRef>
          </c:val>
        </c:ser>
        <c:axId val="673046514"/>
        <c:axId val="823237766"/>
      </c:bar3DChart>
      <c:catAx>
        <c:axId val="673046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237766"/>
      </c:catAx>
      <c:valAx>
        <c:axId val="823237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046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mmClasicaOpenMP(2000x2000)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'clasicaOpen(2000)'!$C$36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'clasicaOpen(2000)'!$D$37:$D$41</c:f>
            </c:strRef>
          </c:cat>
          <c:val>
            <c:numRef>
              <c:f>'clasicaOpen(2000)'!$C$37:$C$41</c:f>
              <c:numCache/>
            </c:numRef>
          </c:val>
        </c:ser>
        <c:ser>
          <c:idx val="1"/>
          <c:order val="1"/>
          <c:tx>
            <c:strRef>
              <c:f>'clasicaOpen(2000)'!$D$36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'clasicaOpen(2000)'!$D$37:$D$41</c:f>
            </c:strRef>
          </c:cat>
          <c:val>
            <c:numRef>
              <c:f>'clasicaOpen(2000)'!$D$37:$D$41</c:f>
              <c:numCache/>
            </c:numRef>
          </c:val>
        </c:ser>
        <c:axId val="138449129"/>
        <c:axId val="153487941"/>
      </c:bar3DChart>
      <c:catAx>
        <c:axId val="138449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87941"/>
      </c:catAx>
      <c:valAx>
        <c:axId val="153487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49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 (500x500)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'filasOpenMp(500)'!$D$37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'filasOpenMp(500)'!$E$38:$E$42</c:f>
            </c:strRef>
          </c:cat>
          <c:val>
            <c:numRef>
              <c:f>'filasOpenMp(500)'!$D$38:$D$42</c:f>
              <c:numCache/>
            </c:numRef>
          </c:val>
        </c:ser>
        <c:ser>
          <c:idx val="1"/>
          <c:order val="1"/>
          <c:tx>
            <c:strRef>
              <c:f>'filasOpenMp(500)'!$E$37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'filasOpenMp(500)'!$E$38:$E$42</c:f>
            </c:strRef>
          </c:cat>
          <c:val>
            <c:numRef>
              <c:f>'filasOpenMp(500)'!$E$38:$E$42</c:f>
              <c:numCache/>
            </c:numRef>
          </c:val>
        </c:ser>
        <c:axId val="200186345"/>
        <c:axId val="167638562"/>
      </c:bar3DChart>
      <c:catAx>
        <c:axId val="200186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38562"/>
      </c:catAx>
      <c:valAx>
        <c:axId val="167638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86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filasOpenMP(700x700)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'filasOpenMp(700)'!$D$37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'filasOpenMp(700)'!$E$38:$E$42</c:f>
            </c:strRef>
          </c:cat>
          <c:val>
            <c:numRef>
              <c:f>'filasOpenMp(700)'!$D$38:$D$42</c:f>
              <c:numCache/>
            </c:numRef>
          </c:val>
        </c:ser>
        <c:ser>
          <c:idx val="1"/>
          <c:order val="1"/>
          <c:tx>
            <c:strRef>
              <c:f>'filasOpenMp(700)'!$E$37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'filasOpenMp(700)'!$E$38:$E$42</c:f>
            </c:strRef>
          </c:cat>
          <c:val>
            <c:numRef>
              <c:f>'filasOpenMp(700)'!$E$38:$E$42</c:f>
              <c:numCache/>
            </c:numRef>
          </c:val>
        </c:ser>
        <c:axId val="832557893"/>
        <c:axId val="358918901"/>
      </c:bar3DChart>
      <c:catAx>
        <c:axId val="832557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918901"/>
      </c:catAx>
      <c:valAx>
        <c:axId val="358918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557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filasOpenMp(900x900)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'filasOpenMp(900)'!$E$37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'filasOpenMp(900)'!$F$38:$F$42</c:f>
            </c:strRef>
          </c:cat>
          <c:val>
            <c:numRef>
              <c:f>'filasOpenMp(900)'!$E$38:$E$42</c:f>
              <c:numCache/>
            </c:numRef>
          </c:val>
        </c:ser>
        <c:ser>
          <c:idx val="1"/>
          <c:order val="1"/>
          <c:tx>
            <c:strRef>
              <c:f>'filasOpenMp(900)'!$F$37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'filasOpenMp(900)'!$F$38:$F$42</c:f>
            </c:strRef>
          </c:cat>
          <c:val>
            <c:numRef>
              <c:f>'filasOpenMp(900)'!$F$38:$F$42</c:f>
              <c:numCache/>
            </c:numRef>
          </c:val>
        </c:ser>
        <c:axId val="1120489300"/>
        <c:axId val="1303821449"/>
      </c:bar3DChart>
      <c:catAx>
        <c:axId val="1120489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821449"/>
      </c:catAx>
      <c:valAx>
        <c:axId val="1303821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489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filasOpenMP(1200x1200)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'filasOpenMp(1200)'!$D$38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'filasOpenMp(1200)'!$E$39:$E$43</c:f>
            </c:strRef>
          </c:cat>
          <c:val>
            <c:numRef>
              <c:f>'filasOpenMp(1200)'!$D$39:$D$43</c:f>
              <c:numCache/>
            </c:numRef>
          </c:val>
        </c:ser>
        <c:ser>
          <c:idx val="1"/>
          <c:order val="1"/>
          <c:tx>
            <c:strRef>
              <c:f>'filasOpenMp(1200)'!$E$38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'filasOpenMp(1200)'!$E$39:$E$43</c:f>
            </c:strRef>
          </c:cat>
          <c:val>
            <c:numRef>
              <c:f>'filasOpenMp(1200)'!$E$39:$E$43</c:f>
              <c:numCache/>
            </c:numRef>
          </c:val>
        </c:ser>
        <c:axId val="1076086438"/>
        <c:axId val="622467901"/>
      </c:bar3DChart>
      <c:catAx>
        <c:axId val="1076086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467901"/>
      </c:catAx>
      <c:valAx>
        <c:axId val="622467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086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filasOpenMP(1500x1500)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'filasOpenMp(1500)'!$D$37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'filasOpenMp(1500)'!$D$38:$D$42</c:f>
              <c:numCache/>
            </c:numRef>
          </c:val>
        </c:ser>
        <c:ser>
          <c:idx val="1"/>
          <c:order val="1"/>
          <c:tx>
            <c:strRef>
              <c:f>'filasOpenMp(1500)'!$E$37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'filasOpenMp(1500)'!$E$38:$E$42</c:f>
              <c:numCache/>
            </c:numRef>
          </c:val>
        </c:ser>
        <c:axId val="175399309"/>
        <c:axId val="627365824"/>
      </c:bar3DChart>
      <c:catAx>
        <c:axId val="175399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365824"/>
      </c:catAx>
      <c:valAx>
        <c:axId val="627365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99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filasOpenMP(1700x1700)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'filasOpenMp(1700)'!$D$38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'filasOpenMp(1700)'!$D$39:$D$43</c:f>
              <c:numCache/>
            </c:numRef>
          </c:val>
        </c:ser>
        <c:ser>
          <c:idx val="1"/>
          <c:order val="1"/>
          <c:tx>
            <c:strRef>
              <c:f>'filasOpenMp(1700)'!$E$38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'filasOpenMp(1700)'!$E$39:$E$43</c:f>
              <c:numCache/>
            </c:numRef>
          </c:val>
        </c:ser>
        <c:axId val="1000770078"/>
        <c:axId val="146643116"/>
      </c:bar3DChart>
      <c:catAx>
        <c:axId val="100077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43116"/>
      </c:catAx>
      <c:valAx>
        <c:axId val="146643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770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filasOpenMP(2000x2000)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'filasOpenMp(2000)'!$D$39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'filasOpenMp(2000)'!$D$40:$D$44</c:f>
              <c:numCache/>
            </c:numRef>
          </c:val>
        </c:ser>
        <c:ser>
          <c:idx val="1"/>
          <c:order val="1"/>
          <c:tx>
            <c:strRef>
              <c:f>'filasOpenMp(2000)'!$E$39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'filasOpenMp(2000)'!$E$40:$E$44</c:f>
              <c:numCache/>
            </c:numRef>
          </c:val>
        </c:ser>
        <c:axId val="1365523302"/>
        <c:axId val="933505335"/>
      </c:bar3DChart>
      <c:catAx>
        <c:axId val="1365523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505335"/>
      </c:catAx>
      <c:valAx>
        <c:axId val="933505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523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39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35</xdr:row>
      <xdr:rowOff>123825</xdr:rowOff>
    </xdr:from>
    <xdr:ext cx="6610350" cy="4086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35</xdr:row>
      <xdr:rowOff>47625</xdr:rowOff>
    </xdr:from>
    <xdr:ext cx="5838825" cy="3609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34</xdr:row>
      <xdr:rowOff>180975</xdr:rowOff>
    </xdr:from>
    <xdr:ext cx="6238875" cy="38576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36</xdr:row>
      <xdr:rowOff>85725</xdr:rowOff>
    </xdr:from>
    <xdr:ext cx="5962650" cy="36861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36</xdr:row>
      <xdr:rowOff>57150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35</xdr:row>
      <xdr:rowOff>76200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34</xdr:row>
      <xdr:rowOff>104775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34</xdr:row>
      <xdr:rowOff>161925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35</xdr:row>
      <xdr:rowOff>76200</xdr:rowOff>
    </xdr:from>
    <xdr:ext cx="6724650" cy="41624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35</xdr:row>
      <xdr:rowOff>190500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1752600</xdr:colOff>
      <xdr:row>34</xdr:row>
      <xdr:rowOff>38100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1209675</xdr:colOff>
      <xdr:row>37</xdr:row>
      <xdr:rowOff>95250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1247775</xdr:colOff>
      <xdr:row>37</xdr:row>
      <xdr:rowOff>142875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1200150</xdr:colOff>
      <xdr:row>39</xdr:row>
      <xdr:rowOff>57150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39</xdr:row>
      <xdr:rowOff>47625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37</xdr:row>
      <xdr:rowOff>114300</xdr:rowOff>
    </xdr:from>
    <xdr:ext cx="5715000" cy="35337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37</xdr:row>
      <xdr:rowOff>104775</xdr:rowOff>
    </xdr:from>
    <xdr:ext cx="5715000" cy="35337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40</xdr:row>
      <xdr:rowOff>200025</xdr:rowOff>
    </xdr:from>
    <xdr:ext cx="5715000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1238250</xdr:colOff>
      <xdr:row>37</xdr:row>
      <xdr:rowOff>200025</xdr:rowOff>
    </xdr:from>
    <xdr:ext cx="5715000" cy="3533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38</xdr:row>
      <xdr:rowOff>9525</xdr:rowOff>
    </xdr:from>
    <xdr:ext cx="5715000" cy="35337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42</xdr:row>
      <xdr:rowOff>180975</xdr:rowOff>
    </xdr:from>
    <xdr:ext cx="5715000" cy="35337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37</xdr:row>
      <xdr:rowOff>38100</xdr:rowOff>
    </xdr:from>
    <xdr:ext cx="5715000" cy="35337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37</xdr:row>
      <xdr:rowOff>200025</xdr:rowOff>
    </xdr:from>
    <xdr:ext cx="5715000" cy="35337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43</xdr:row>
      <xdr:rowOff>171450</xdr:rowOff>
    </xdr:from>
    <xdr:ext cx="5715000" cy="35337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1133475</xdr:colOff>
      <xdr:row>42</xdr:row>
      <xdr:rowOff>171450</xdr:rowOff>
    </xdr:from>
    <xdr:ext cx="5715000" cy="3533775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44</xdr:row>
      <xdr:rowOff>104775</xdr:rowOff>
    </xdr:from>
    <xdr:ext cx="5715000" cy="3533775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41</xdr:row>
      <xdr:rowOff>28575</xdr:rowOff>
    </xdr:from>
    <xdr:ext cx="5715000" cy="353377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38"/>
    <col customWidth="1" min="3" max="3" width="25.25"/>
    <col customWidth="1" min="4" max="4" width="25.5"/>
    <col customWidth="1" min="5" max="5" width="25.25"/>
    <col customWidth="1" min="6" max="6" width="27.38"/>
  </cols>
  <sheetData>
    <row r="5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>
      <c r="A6" s="2">
        <v>1.0</v>
      </c>
      <c r="B6" s="2">
        <v>574859.0</v>
      </c>
      <c r="C6" s="2">
        <v>320353.0</v>
      </c>
      <c r="D6" s="2">
        <v>201665.0</v>
      </c>
      <c r="E6" s="2">
        <v>190169.0</v>
      </c>
      <c r="F6" s="2">
        <v>184139.0</v>
      </c>
    </row>
    <row r="7">
      <c r="A7" s="2">
        <f t="shared" ref="A7:A35" si="1">A6+1</f>
        <v>2</v>
      </c>
      <c r="B7" s="2">
        <v>647160.0</v>
      </c>
      <c r="C7" s="2">
        <v>327409.0</v>
      </c>
      <c r="D7" s="2">
        <v>196514.0</v>
      </c>
      <c r="E7" s="2">
        <v>183673.0</v>
      </c>
      <c r="F7" s="2">
        <v>198894.0</v>
      </c>
    </row>
    <row r="8">
      <c r="A8" s="2">
        <f t="shared" si="1"/>
        <v>3</v>
      </c>
      <c r="B8" s="2">
        <v>596048.0</v>
      </c>
      <c r="C8" s="2">
        <v>323269.0</v>
      </c>
      <c r="D8" s="2">
        <v>190586.0</v>
      </c>
      <c r="E8" s="2">
        <v>174835.0</v>
      </c>
      <c r="F8" s="2">
        <v>181854.0</v>
      </c>
    </row>
    <row r="9">
      <c r="A9" s="2">
        <f t="shared" si="1"/>
        <v>4</v>
      </c>
      <c r="B9" s="2">
        <v>620985.0</v>
      </c>
      <c r="C9" s="2">
        <v>320084.0</v>
      </c>
      <c r="D9" s="2">
        <v>183458.0</v>
      </c>
      <c r="E9" s="2">
        <v>185356.0</v>
      </c>
      <c r="F9" s="2">
        <v>199753.0</v>
      </c>
    </row>
    <row r="10">
      <c r="A10" s="2">
        <f t="shared" si="1"/>
        <v>5</v>
      </c>
      <c r="B10" s="2">
        <v>624231.0</v>
      </c>
      <c r="C10" s="2">
        <v>373256.0</v>
      </c>
      <c r="D10" s="2">
        <v>206265.0</v>
      </c>
      <c r="E10" s="2">
        <v>183426.0</v>
      </c>
      <c r="F10" s="2">
        <v>181343.0</v>
      </c>
    </row>
    <row r="11">
      <c r="A11" s="2">
        <f t="shared" si="1"/>
        <v>6</v>
      </c>
      <c r="B11" s="2">
        <v>579667.0</v>
      </c>
      <c r="C11" s="2">
        <v>348427.0</v>
      </c>
      <c r="D11" s="2">
        <v>215587.0</v>
      </c>
      <c r="E11" s="2">
        <v>196969.0</v>
      </c>
      <c r="F11" s="2">
        <v>186282.0</v>
      </c>
    </row>
    <row r="12">
      <c r="A12" s="2">
        <f t="shared" si="1"/>
        <v>7</v>
      </c>
      <c r="B12" s="2">
        <v>686104.0</v>
      </c>
      <c r="C12" s="2">
        <v>374043.0</v>
      </c>
      <c r="D12" s="2">
        <v>183535.0</v>
      </c>
      <c r="E12" s="2">
        <v>186701.0</v>
      </c>
      <c r="F12" s="2">
        <v>171558.0</v>
      </c>
    </row>
    <row r="13">
      <c r="A13" s="2">
        <f t="shared" si="1"/>
        <v>8</v>
      </c>
      <c r="B13" s="2">
        <v>591218.0</v>
      </c>
      <c r="C13" s="2">
        <v>363431.0</v>
      </c>
      <c r="D13" s="2">
        <v>192883.0</v>
      </c>
      <c r="E13" s="2">
        <v>213540.0</v>
      </c>
      <c r="F13" s="2">
        <v>174657.0</v>
      </c>
    </row>
    <row r="14">
      <c r="A14" s="2">
        <f t="shared" si="1"/>
        <v>9</v>
      </c>
      <c r="B14" s="2">
        <v>639456.0</v>
      </c>
      <c r="C14" s="2">
        <v>332854.0</v>
      </c>
      <c r="D14" s="2">
        <v>242700.0</v>
      </c>
      <c r="E14" s="2">
        <v>212474.0</v>
      </c>
      <c r="F14" s="2">
        <v>176512.0</v>
      </c>
    </row>
    <row r="15">
      <c r="A15" s="2">
        <f t="shared" si="1"/>
        <v>10</v>
      </c>
      <c r="B15" s="2">
        <v>707207.0</v>
      </c>
      <c r="C15" s="2">
        <v>355784.0</v>
      </c>
      <c r="D15" s="2">
        <v>198225.0</v>
      </c>
      <c r="E15" s="2">
        <v>195205.0</v>
      </c>
      <c r="F15" s="2">
        <v>176974.0</v>
      </c>
    </row>
    <row r="16">
      <c r="A16" s="2">
        <f t="shared" si="1"/>
        <v>11</v>
      </c>
      <c r="B16" s="2">
        <v>601527.0</v>
      </c>
      <c r="C16" s="2">
        <v>323433.0</v>
      </c>
      <c r="D16" s="2">
        <v>221478.0</v>
      </c>
      <c r="E16" s="2">
        <v>201135.0</v>
      </c>
      <c r="F16" s="2">
        <v>164144.0</v>
      </c>
    </row>
    <row r="17">
      <c r="A17" s="2">
        <f t="shared" si="1"/>
        <v>12</v>
      </c>
      <c r="B17" s="2">
        <v>683291.0</v>
      </c>
      <c r="C17" s="2">
        <v>323486.0</v>
      </c>
      <c r="D17" s="2">
        <v>196613.0</v>
      </c>
      <c r="E17" s="2">
        <v>190436.0</v>
      </c>
      <c r="F17" s="2">
        <v>168308.0</v>
      </c>
    </row>
    <row r="18">
      <c r="A18" s="2">
        <f t="shared" si="1"/>
        <v>13</v>
      </c>
      <c r="B18" s="2">
        <v>603057.0</v>
      </c>
      <c r="C18" s="2">
        <v>350167.0</v>
      </c>
      <c r="D18" s="2">
        <v>189859.0</v>
      </c>
      <c r="E18" s="2">
        <v>186405.0</v>
      </c>
      <c r="F18" s="2">
        <v>170583.0</v>
      </c>
    </row>
    <row r="19">
      <c r="A19" s="2">
        <f t="shared" si="1"/>
        <v>14</v>
      </c>
      <c r="B19" s="2">
        <v>646814.0</v>
      </c>
      <c r="C19" s="2">
        <v>338098.0</v>
      </c>
      <c r="D19" s="2">
        <v>197545.0</v>
      </c>
      <c r="E19" s="2">
        <v>181601.0</v>
      </c>
      <c r="F19" s="2">
        <v>185984.0</v>
      </c>
    </row>
    <row r="20">
      <c r="A20" s="2">
        <f t="shared" si="1"/>
        <v>15</v>
      </c>
      <c r="B20" s="2">
        <v>587852.0</v>
      </c>
      <c r="C20" s="2">
        <v>398266.0</v>
      </c>
      <c r="D20" s="2">
        <v>208203.0</v>
      </c>
      <c r="E20" s="2">
        <v>206400.0</v>
      </c>
      <c r="F20" s="2">
        <v>186245.0</v>
      </c>
    </row>
    <row r="21">
      <c r="A21" s="2">
        <f t="shared" si="1"/>
        <v>16</v>
      </c>
      <c r="B21" s="2">
        <v>588645.0</v>
      </c>
      <c r="C21" s="2">
        <v>332528.0</v>
      </c>
      <c r="D21" s="2">
        <v>190693.0</v>
      </c>
      <c r="E21" s="2">
        <v>223759.0</v>
      </c>
      <c r="F21" s="2">
        <v>184894.0</v>
      </c>
    </row>
    <row r="22">
      <c r="A22" s="2">
        <f t="shared" si="1"/>
        <v>17</v>
      </c>
      <c r="B22" s="2">
        <v>713139.0</v>
      </c>
      <c r="C22" s="2">
        <v>340797.0</v>
      </c>
      <c r="D22" s="2">
        <v>209805.0</v>
      </c>
      <c r="E22" s="2">
        <v>183728.0</v>
      </c>
      <c r="F22" s="2">
        <v>180796.0</v>
      </c>
    </row>
    <row r="23">
      <c r="A23" s="2">
        <f t="shared" si="1"/>
        <v>18</v>
      </c>
      <c r="B23" s="2">
        <v>588501.0</v>
      </c>
      <c r="C23" s="2">
        <v>336131.0</v>
      </c>
      <c r="D23" s="2">
        <v>198003.0</v>
      </c>
      <c r="E23" s="2">
        <v>173087.0</v>
      </c>
      <c r="F23" s="2">
        <v>186127.0</v>
      </c>
    </row>
    <row r="24">
      <c r="A24" s="2">
        <f t="shared" si="1"/>
        <v>19</v>
      </c>
      <c r="B24" s="2">
        <v>694818.0</v>
      </c>
      <c r="C24" s="2">
        <v>414519.0</v>
      </c>
      <c r="D24" s="2">
        <v>231992.0</v>
      </c>
      <c r="E24" s="2">
        <v>186876.0</v>
      </c>
      <c r="F24" s="2">
        <v>187792.0</v>
      </c>
    </row>
    <row r="25">
      <c r="A25" s="2">
        <f t="shared" si="1"/>
        <v>20</v>
      </c>
      <c r="B25" s="2">
        <v>589827.0</v>
      </c>
      <c r="C25" s="2">
        <v>337003.0</v>
      </c>
      <c r="D25" s="2">
        <v>214795.0</v>
      </c>
      <c r="E25" s="2">
        <v>184683.0</v>
      </c>
      <c r="F25" s="2">
        <v>188845.0</v>
      </c>
    </row>
    <row r="26">
      <c r="A26" s="2">
        <f t="shared" si="1"/>
        <v>21</v>
      </c>
      <c r="B26" s="2">
        <v>685174.0</v>
      </c>
      <c r="C26" s="2">
        <v>328515.0</v>
      </c>
      <c r="D26" s="2">
        <v>191118.0</v>
      </c>
      <c r="E26" s="2">
        <v>188735.0</v>
      </c>
      <c r="F26" s="2">
        <v>190243.0</v>
      </c>
    </row>
    <row r="27">
      <c r="A27" s="2">
        <f t="shared" si="1"/>
        <v>22</v>
      </c>
      <c r="B27" s="2">
        <v>591428.0</v>
      </c>
      <c r="C27" s="2">
        <v>382309.0</v>
      </c>
      <c r="D27" s="2">
        <v>190823.0</v>
      </c>
      <c r="E27" s="2">
        <v>190726.0</v>
      </c>
      <c r="F27" s="2">
        <v>176872.0</v>
      </c>
    </row>
    <row r="28">
      <c r="A28" s="2">
        <f t="shared" si="1"/>
        <v>23</v>
      </c>
      <c r="B28" s="2">
        <v>575098.0</v>
      </c>
      <c r="C28" s="2">
        <v>340658.0</v>
      </c>
      <c r="D28" s="2">
        <v>213610.0</v>
      </c>
      <c r="E28" s="2">
        <v>181365.0</v>
      </c>
      <c r="F28" s="2">
        <v>174535.0</v>
      </c>
    </row>
    <row r="29">
      <c r="A29" s="2">
        <f t="shared" si="1"/>
        <v>24</v>
      </c>
      <c r="B29" s="2">
        <v>741316.0</v>
      </c>
      <c r="C29" s="2">
        <v>446633.0</v>
      </c>
      <c r="D29" s="2">
        <v>196970.0</v>
      </c>
      <c r="E29" s="2">
        <v>184315.0</v>
      </c>
      <c r="F29" s="2">
        <v>187895.0</v>
      </c>
    </row>
    <row r="30">
      <c r="A30" s="2">
        <f t="shared" si="1"/>
        <v>25</v>
      </c>
      <c r="B30" s="2">
        <v>585845.0</v>
      </c>
      <c r="C30" s="2">
        <v>361224.0</v>
      </c>
      <c r="D30" s="2">
        <v>189405.0</v>
      </c>
      <c r="E30" s="2">
        <v>188253.0</v>
      </c>
      <c r="F30" s="2">
        <v>202038.0</v>
      </c>
    </row>
    <row r="31">
      <c r="A31" s="2">
        <f t="shared" si="1"/>
        <v>26</v>
      </c>
      <c r="B31" s="2">
        <v>659476.0</v>
      </c>
      <c r="C31" s="2">
        <v>354500.0</v>
      </c>
      <c r="D31" s="2">
        <v>283590.0</v>
      </c>
      <c r="E31" s="2">
        <v>188207.0</v>
      </c>
      <c r="F31" s="2">
        <v>198655.0</v>
      </c>
    </row>
    <row r="32">
      <c r="A32" s="2">
        <f t="shared" si="1"/>
        <v>27</v>
      </c>
      <c r="B32" s="2">
        <v>543488.0</v>
      </c>
      <c r="C32" s="2">
        <v>359988.0</v>
      </c>
      <c r="D32" s="2">
        <v>192198.0</v>
      </c>
      <c r="E32" s="2">
        <v>171045.0</v>
      </c>
      <c r="F32" s="2">
        <v>182585.0</v>
      </c>
    </row>
    <row r="33">
      <c r="A33" s="2">
        <f t="shared" si="1"/>
        <v>28</v>
      </c>
      <c r="B33" s="2">
        <v>615808.0</v>
      </c>
      <c r="C33" s="2">
        <v>330941.0</v>
      </c>
      <c r="D33" s="2">
        <v>192185.0</v>
      </c>
      <c r="E33" s="2">
        <v>199073.0</v>
      </c>
      <c r="F33" s="2">
        <v>192570.0</v>
      </c>
    </row>
    <row r="34">
      <c r="A34" s="2">
        <f t="shared" si="1"/>
        <v>29</v>
      </c>
      <c r="B34" s="2">
        <v>724657.0</v>
      </c>
      <c r="C34" s="2">
        <v>327077.0</v>
      </c>
      <c r="D34" s="2">
        <v>227547.0</v>
      </c>
      <c r="E34" s="2">
        <v>189401.0</v>
      </c>
      <c r="F34" s="2">
        <v>214737.0</v>
      </c>
    </row>
    <row r="35">
      <c r="A35" s="2">
        <f t="shared" si="1"/>
        <v>30</v>
      </c>
      <c r="B35" s="2">
        <v>630755.0</v>
      </c>
      <c r="C35" s="2">
        <v>338977.0</v>
      </c>
      <c r="D35" s="2">
        <v>237484.0</v>
      </c>
      <c r="E35" s="2">
        <v>190745.0</v>
      </c>
      <c r="F35" s="2">
        <v>185899.0</v>
      </c>
    </row>
    <row r="36">
      <c r="A36" s="2" t="s">
        <v>5</v>
      </c>
      <c r="B36" s="1">
        <f t="shared" ref="B36:F36" si="2">AVERAGE(B6:B35)</f>
        <v>630581.7</v>
      </c>
      <c r="C36" s="1">
        <f t="shared" si="2"/>
        <v>350138.6667</v>
      </c>
      <c r="D36" s="1">
        <f t="shared" si="2"/>
        <v>206177.8</v>
      </c>
      <c r="E36" s="1">
        <f t="shared" si="2"/>
        <v>190410.7667</v>
      </c>
      <c r="F36" s="1">
        <f t="shared" si="2"/>
        <v>184723.7667</v>
      </c>
    </row>
    <row r="37">
      <c r="A37" s="2" t="s">
        <v>6</v>
      </c>
      <c r="B37" s="1">
        <f t="shared" ref="B37:E37" si="3">STDEV(B6:B35)</f>
        <v>52465.1812</v>
      </c>
      <c r="C37" s="1">
        <f t="shared" si="3"/>
        <v>29716.10905</v>
      </c>
      <c r="D37" s="1">
        <f t="shared" si="3"/>
        <v>21562.7205</v>
      </c>
      <c r="E37" s="1">
        <f t="shared" si="3"/>
        <v>11763.48609</v>
      </c>
      <c r="F37" s="1">
        <f>_xlfn.STDEV.S(F6,F35)</f>
        <v>1244.507935</v>
      </c>
    </row>
    <row r="39">
      <c r="A39" s="3" t="s">
        <v>7</v>
      </c>
    </row>
    <row r="42">
      <c r="A42" s="2" t="s">
        <v>8</v>
      </c>
      <c r="B42" s="2" t="s">
        <v>9</v>
      </c>
    </row>
    <row r="43">
      <c r="A43" s="1">
        <f>AVERAGE(B6:B35)</f>
        <v>630581.7</v>
      </c>
      <c r="B43" s="2">
        <v>1.0</v>
      </c>
    </row>
    <row r="44">
      <c r="A44" s="1">
        <f>AVERAGE(C6:C35)</f>
        <v>350138.6667</v>
      </c>
      <c r="B44" s="2">
        <v>2.0</v>
      </c>
    </row>
    <row r="45">
      <c r="A45" s="1">
        <f>AVERAGE(D6:D35)</f>
        <v>206177.8</v>
      </c>
      <c r="B45" s="2">
        <v>4.0</v>
      </c>
    </row>
    <row r="46">
      <c r="A46" s="1">
        <f>AVERAGE(E6:E35)</f>
        <v>190410.7667</v>
      </c>
      <c r="B46" s="2">
        <v>8.0</v>
      </c>
    </row>
    <row r="47">
      <c r="A47" s="1">
        <f>AVERAGE(F6:F35)</f>
        <v>184723.7667</v>
      </c>
      <c r="B47" s="2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5"/>
    <col customWidth="1" min="3" max="3" width="24.38"/>
    <col customWidth="1" min="4" max="4" width="28.0"/>
    <col customWidth="1" min="5" max="5" width="29.63"/>
    <col customWidth="1" min="6" max="6" width="28.88"/>
    <col customWidth="1" min="7" max="7" width="27.88"/>
  </cols>
  <sheetData>
    <row r="2">
      <c r="B2" s="1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B3" s="2">
        <v>1.0</v>
      </c>
      <c r="C3" s="2">
        <v>1572529.0</v>
      </c>
      <c r="D3" s="2">
        <v>846621.0</v>
      </c>
      <c r="E3" s="2">
        <v>502309.0</v>
      </c>
      <c r="F3" s="2">
        <v>465097.0</v>
      </c>
      <c r="G3" s="2">
        <v>443650.0</v>
      </c>
    </row>
    <row r="4">
      <c r="B4" s="2">
        <f t="shared" ref="B4:B32" si="1">B3+1</f>
        <v>2</v>
      </c>
      <c r="C4" s="2">
        <v>2191261.0</v>
      </c>
      <c r="D4" s="2">
        <v>813702.0</v>
      </c>
      <c r="E4" s="2">
        <v>565578.0</v>
      </c>
      <c r="F4" s="2">
        <v>461390.0</v>
      </c>
      <c r="G4" s="2">
        <v>470919.0</v>
      </c>
    </row>
    <row r="5">
      <c r="B5" s="2">
        <f t="shared" si="1"/>
        <v>3</v>
      </c>
      <c r="C5" s="2">
        <v>1804829.0</v>
      </c>
      <c r="D5" s="2">
        <v>998263.0</v>
      </c>
      <c r="E5" s="2">
        <v>575990.0</v>
      </c>
      <c r="F5" s="2">
        <v>481941.0</v>
      </c>
      <c r="G5" s="2">
        <v>441502.0</v>
      </c>
    </row>
    <row r="6">
      <c r="B6" s="2">
        <f t="shared" si="1"/>
        <v>4</v>
      </c>
      <c r="C6" s="2">
        <v>1844391.0</v>
      </c>
      <c r="D6" s="2">
        <v>891880.0</v>
      </c>
      <c r="E6" s="2">
        <v>603315.0</v>
      </c>
      <c r="F6" s="2">
        <v>436719.0</v>
      </c>
      <c r="G6" s="2">
        <v>457356.0</v>
      </c>
    </row>
    <row r="7">
      <c r="B7" s="2">
        <f t="shared" si="1"/>
        <v>5</v>
      </c>
      <c r="C7" s="2">
        <v>1672168.0</v>
      </c>
      <c r="D7" s="2">
        <v>904918.0</v>
      </c>
      <c r="E7" s="2">
        <v>470435.0</v>
      </c>
      <c r="F7" s="2">
        <v>444983.0</v>
      </c>
      <c r="G7" s="2">
        <v>455129.0</v>
      </c>
    </row>
    <row r="8">
      <c r="B8" s="2">
        <f t="shared" si="1"/>
        <v>6</v>
      </c>
      <c r="C8" s="2">
        <v>1914605.0</v>
      </c>
      <c r="D8" s="2">
        <v>878091.0</v>
      </c>
      <c r="E8" s="2">
        <v>463556.0</v>
      </c>
      <c r="F8" s="2">
        <v>486078.0</v>
      </c>
      <c r="G8" s="2">
        <v>429951.0</v>
      </c>
    </row>
    <row r="9">
      <c r="B9" s="2">
        <f t="shared" si="1"/>
        <v>7</v>
      </c>
      <c r="C9" s="2">
        <v>1764899.0</v>
      </c>
      <c r="D9" s="2">
        <v>926181.0</v>
      </c>
      <c r="E9" s="2">
        <v>484600.0</v>
      </c>
      <c r="F9" s="2">
        <v>468444.0</v>
      </c>
      <c r="G9" s="2">
        <v>433722.0</v>
      </c>
    </row>
    <row r="10">
      <c r="B10" s="2">
        <f t="shared" si="1"/>
        <v>8</v>
      </c>
      <c r="C10" s="2">
        <v>1915439.0</v>
      </c>
      <c r="D10" s="2">
        <v>927835.0</v>
      </c>
      <c r="E10" s="2">
        <v>456260.0</v>
      </c>
      <c r="F10" s="2">
        <v>433837.0</v>
      </c>
      <c r="G10" s="2">
        <v>461286.0</v>
      </c>
    </row>
    <row r="11">
      <c r="B11" s="2">
        <f t="shared" si="1"/>
        <v>9</v>
      </c>
      <c r="C11" s="2">
        <v>1659680.0</v>
      </c>
      <c r="D11" s="2">
        <v>952333.0</v>
      </c>
      <c r="E11" s="2">
        <v>453812.0</v>
      </c>
      <c r="F11" s="2">
        <v>461432.0</v>
      </c>
      <c r="G11" s="2">
        <v>442938.0</v>
      </c>
    </row>
    <row r="12">
      <c r="B12" s="2">
        <f t="shared" si="1"/>
        <v>10</v>
      </c>
      <c r="C12" s="2">
        <v>1931021.0</v>
      </c>
      <c r="D12" s="2">
        <v>898900.0</v>
      </c>
      <c r="E12" s="2">
        <v>483410.0</v>
      </c>
      <c r="F12" s="2">
        <v>456171.0</v>
      </c>
      <c r="G12" s="2">
        <v>444171.0</v>
      </c>
    </row>
    <row r="13">
      <c r="B13" s="2">
        <f t="shared" si="1"/>
        <v>11</v>
      </c>
      <c r="C13" s="2">
        <v>1724072.0</v>
      </c>
      <c r="D13" s="2">
        <v>895703.0</v>
      </c>
      <c r="E13" s="2">
        <v>500448.0</v>
      </c>
      <c r="F13" s="2">
        <v>465561.0</v>
      </c>
      <c r="G13" s="2">
        <v>434388.0</v>
      </c>
    </row>
    <row r="14">
      <c r="B14" s="2">
        <f t="shared" si="1"/>
        <v>12</v>
      </c>
      <c r="C14" s="2">
        <v>1723404.0</v>
      </c>
      <c r="D14" s="2">
        <v>813668.0</v>
      </c>
      <c r="E14" s="2">
        <v>538238.0</v>
      </c>
      <c r="F14" s="2">
        <v>441775.0</v>
      </c>
      <c r="G14" s="2">
        <v>447554.0</v>
      </c>
    </row>
    <row r="15">
      <c r="B15" s="2">
        <f t="shared" si="1"/>
        <v>13</v>
      </c>
      <c r="C15" s="2">
        <v>2162118.0</v>
      </c>
      <c r="D15" s="2">
        <v>825335.0</v>
      </c>
      <c r="E15" s="2">
        <v>564332.0</v>
      </c>
      <c r="F15" s="2">
        <v>456210.0</v>
      </c>
      <c r="G15" s="2">
        <v>497961.0</v>
      </c>
    </row>
    <row r="16">
      <c r="B16" s="2">
        <f t="shared" si="1"/>
        <v>14</v>
      </c>
      <c r="C16" s="2">
        <v>2069636.0</v>
      </c>
      <c r="D16" s="2">
        <v>814987.0</v>
      </c>
      <c r="E16" s="2">
        <v>464747.0</v>
      </c>
      <c r="F16" s="2">
        <v>455579.0</v>
      </c>
      <c r="G16" s="2">
        <v>429699.0</v>
      </c>
    </row>
    <row r="17">
      <c r="B17" s="2">
        <f t="shared" si="1"/>
        <v>15</v>
      </c>
      <c r="C17" s="2">
        <v>1630794.0</v>
      </c>
      <c r="D17" s="2">
        <v>876580.0</v>
      </c>
      <c r="E17" s="2">
        <v>486131.0</v>
      </c>
      <c r="F17" s="2">
        <v>427427.0</v>
      </c>
      <c r="G17" s="2">
        <v>434867.0</v>
      </c>
    </row>
    <row r="18">
      <c r="B18" s="2">
        <f t="shared" si="1"/>
        <v>16</v>
      </c>
      <c r="C18" s="2">
        <v>1933230.0</v>
      </c>
      <c r="D18" s="2">
        <v>846603.0</v>
      </c>
      <c r="E18" s="2">
        <v>533875.0</v>
      </c>
      <c r="F18" s="2">
        <v>476692.0</v>
      </c>
      <c r="G18" s="2">
        <v>444470.0</v>
      </c>
    </row>
    <row r="19">
      <c r="B19" s="2">
        <f t="shared" si="1"/>
        <v>17</v>
      </c>
      <c r="C19" s="2">
        <v>2052422.0</v>
      </c>
      <c r="D19" s="2">
        <v>983614.0</v>
      </c>
      <c r="E19" s="2">
        <v>486054.0</v>
      </c>
      <c r="F19" s="2">
        <v>456893.0</v>
      </c>
      <c r="G19" s="2">
        <v>454284.0</v>
      </c>
    </row>
    <row r="20">
      <c r="B20" s="2">
        <f t="shared" si="1"/>
        <v>18</v>
      </c>
      <c r="C20" s="2">
        <v>1794338.0</v>
      </c>
      <c r="D20" s="2">
        <v>883416.0</v>
      </c>
      <c r="E20" s="2">
        <v>550255.0</v>
      </c>
      <c r="F20" s="2">
        <v>439561.0</v>
      </c>
      <c r="G20" s="2">
        <v>452020.0</v>
      </c>
    </row>
    <row r="21">
      <c r="B21" s="2">
        <f t="shared" si="1"/>
        <v>19</v>
      </c>
      <c r="C21" s="2">
        <v>1656474.0</v>
      </c>
      <c r="D21" s="2">
        <v>993657.0</v>
      </c>
      <c r="E21" s="2">
        <v>486665.0</v>
      </c>
      <c r="F21" s="2">
        <v>451753.0</v>
      </c>
      <c r="G21" s="2">
        <v>477708.0</v>
      </c>
    </row>
    <row r="22">
      <c r="B22" s="2">
        <f t="shared" si="1"/>
        <v>20</v>
      </c>
      <c r="C22" s="2">
        <v>1823874.0</v>
      </c>
      <c r="D22" s="2">
        <v>994221.0</v>
      </c>
      <c r="E22" s="2">
        <v>483565.0</v>
      </c>
      <c r="F22" s="2">
        <v>444259.0</v>
      </c>
      <c r="G22" s="2">
        <v>439066.0</v>
      </c>
    </row>
    <row r="23">
      <c r="B23" s="2">
        <f t="shared" si="1"/>
        <v>21</v>
      </c>
      <c r="C23" s="2">
        <v>1762679.0</v>
      </c>
      <c r="D23" s="2">
        <v>998860.0</v>
      </c>
      <c r="E23" s="2">
        <v>448953.0</v>
      </c>
      <c r="F23" s="2">
        <v>442372.0</v>
      </c>
      <c r="G23" s="2">
        <v>454206.0</v>
      </c>
    </row>
    <row r="24">
      <c r="B24" s="2">
        <f t="shared" si="1"/>
        <v>22</v>
      </c>
      <c r="C24" s="2">
        <v>1654090.0</v>
      </c>
      <c r="D24" s="2">
        <v>1037425.0</v>
      </c>
      <c r="E24" s="2">
        <v>463380.0</v>
      </c>
      <c r="F24" s="2">
        <v>482189.0</v>
      </c>
      <c r="G24" s="2">
        <v>446060.0</v>
      </c>
    </row>
    <row r="25">
      <c r="B25" s="2">
        <f t="shared" si="1"/>
        <v>23</v>
      </c>
      <c r="C25" s="2">
        <v>1757543.0</v>
      </c>
      <c r="D25" s="2">
        <v>907573.0</v>
      </c>
      <c r="E25" s="2">
        <v>507922.0</v>
      </c>
      <c r="F25" s="2">
        <v>461806.0</v>
      </c>
      <c r="G25" s="2">
        <v>447886.0</v>
      </c>
    </row>
    <row r="26">
      <c r="B26" s="2">
        <f t="shared" si="1"/>
        <v>24</v>
      </c>
      <c r="C26" s="2">
        <v>1960604.0</v>
      </c>
      <c r="D26" s="2">
        <v>817372.0</v>
      </c>
      <c r="E26" s="2">
        <v>467716.0</v>
      </c>
      <c r="F26" s="2">
        <v>467077.0</v>
      </c>
      <c r="G26" s="2">
        <v>444437.0</v>
      </c>
    </row>
    <row r="27">
      <c r="B27" s="2">
        <f t="shared" si="1"/>
        <v>25</v>
      </c>
      <c r="C27" s="2">
        <v>1635352.0</v>
      </c>
      <c r="D27" s="2">
        <v>948579.0</v>
      </c>
      <c r="E27" s="2">
        <v>426983.0</v>
      </c>
      <c r="F27" s="2">
        <v>455454.0</v>
      </c>
      <c r="G27" s="2">
        <v>491608.0</v>
      </c>
    </row>
    <row r="28">
      <c r="B28" s="2">
        <f t="shared" si="1"/>
        <v>26</v>
      </c>
      <c r="C28" s="2">
        <v>1583846.0</v>
      </c>
      <c r="D28" s="2">
        <v>919822.0</v>
      </c>
      <c r="E28" s="2">
        <v>450580.0</v>
      </c>
      <c r="F28" s="2">
        <v>461137.0</v>
      </c>
      <c r="G28" s="2">
        <v>459029.0</v>
      </c>
    </row>
    <row r="29">
      <c r="B29" s="2">
        <f t="shared" si="1"/>
        <v>27</v>
      </c>
      <c r="C29" s="2">
        <v>1786087.0</v>
      </c>
      <c r="D29" s="2">
        <v>848449.0</v>
      </c>
      <c r="E29" s="2">
        <v>455020.0</v>
      </c>
      <c r="F29" s="2">
        <v>447310.0</v>
      </c>
      <c r="G29" s="2">
        <v>457160.0</v>
      </c>
    </row>
    <row r="30">
      <c r="B30" s="2">
        <f t="shared" si="1"/>
        <v>28</v>
      </c>
      <c r="C30" s="2">
        <v>1658704.0</v>
      </c>
      <c r="D30" s="2">
        <v>1088586.0</v>
      </c>
      <c r="E30" s="2">
        <v>446093.0</v>
      </c>
      <c r="F30" s="2">
        <v>446344.0</v>
      </c>
      <c r="G30" s="2">
        <v>435682.0</v>
      </c>
    </row>
    <row r="31">
      <c r="B31" s="2">
        <f t="shared" si="1"/>
        <v>29</v>
      </c>
      <c r="C31" s="2">
        <v>1683156.0</v>
      </c>
      <c r="D31" s="2">
        <v>1001351.0</v>
      </c>
      <c r="E31" s="2">
        <v>446417.0</v>
      </c>
      <c r="F31" s="2">
        <v>458497.0</v>
      </c>
      <c r="G31" s="2">
        <v>451532.0</v>
      </c>
    </row>
    <row r="32">
      <c r="B32" s="2">
        <f t="shared" si="1"/>
        <v>30</v>
      </c>
      <c r="C32" s="2">
        <v>1640843.0</v>
      </c>
      <c r="D32" s="2">
        <v>885621.0</v>
      </c>
      <c r="E32" s="2">
        <v>484256.0</v>
      </c>
      <c r="F32" s="2">
        <v>455296.0</v>
      </c>
      <c r="G32" s="2">
        <v>469347.0</v>
      </c>
    </row>
    <row r="33">
      <c r="B33" s="2" t="s">
        <v>15</v>
      </c>
      <c r="C33" s="1">
        <f t="shared" ref="C33:G33" si="2">AVERAGE(C3:C32)</f>
        <v>1798802.933</v>
      </c>
      <c r="D33" s="1">
        <f t="shared" si="2"/>
        <v>914004.8667</v>
      </c>
      <c r="E33" s="1">
        <f t="shared" si="2"/>
        <v>491696.5</v>
      </c>
      <c r="F33" s="1">
        <f t="shared" si="2"/>
        <v>456309.4667</v>
      </c>
      <c r="G33" s="1">
        <f t="shared" si="2"/>
        <v>451652.9333</v>
      </c>
    </row>
    <row r="34">
      <c r="B34" s="2" t="s">
        <v>16</v>
      </c>
      <c r="C34" s="1">
        <f t="shared" ref="C34:G34" si="3">STDEV(C3:C32)</f>
        <v>167916.7867</v>
      </c>
      <c r="D34" s="1">
        <f t="shared" si="3"/>
        <v>72972.60049</v>
      </c>
      <c r="E34" s="1">
        <f t="shared" si="3"/>
        <v>44594.88188</v>
      </c>
      <c r="F34" s="1">
        <f t="shared" si="3"/>
        <v>14444.81599</v>
      </c>
      <c r="G34" s="1">
        <f t="shared" si="3"/>
        <v>16684.15401</v>
      </c>
    </row>
    <row r="37">
      <c r="A37" s="2" t="s">
        <v>17</v>
      </c>
      <c r="B37" s="2" t="s">
        <v>8</v>
      </c>
      <c r="C37" s="2" t="s">
        <v>9</v>
      </c>
    </row>
    <row r="38">
      <c r="A38" s="1">
        <f>STDEV(C3:C32)</f>
        <v>167916.7867</v>
      </c>
      <c r="B38" s="1">
        <f>AVERAGE(C3:C32)</f>
        <v>1798802.933</v>
      </c>
      <c r="C38" s="2">
        <v>1.0</v>
      </c>
    </row>
    <row r="39">
      <c r="A39" s="1">
        <f>STDEV(D3:D32)</f>
        <v>72972.60049</v>
      </c>
      <c r="B39" s="1">
        <f>AVERAGE(D3:D32)</f>
        <v>914004.8667</v>
      </c>
      <c r="C39" s="2">
        <v>2.0</v>
      </c>
    </row>
    <row r="40">
      <c r="A40" s="1">
        <f>STDEV(E3:E32)</f>
        <v>44594.88188</v>
      </c>
      <c r="B40" s="1">
        <f>AVERAGE(E3:E32)</f>
        <v>491696.5</v>
      </c>
      <c r="C40" s="2">
        <v>4.0</v>
      </c>
    </row>
    <row r="41">
      <c r="A41" s="1">
        <f>STDEV(F3:F32)</f>
        <v>14444.81599</v>
      </c>
      <c r="B41" s="1">
        <f>AVERAGE(F3:F32)</f>
        <v>456309.4667</v>
      </c>
      <c r="C41" s="2">
        <v>8.0</v>
      </c>
    </row>
    <row r="42">
      <c r="A42" s="1">
        <f>STDEV(G3:G32)</f>
        <v>16684.15401</v>
      </c>
      <c r="B42" s="1">
        <f>AVERAGE(G3:G32)</f>
        <v>451652.9333</v>
      </c>
      <c r="C42" s="2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75"/>
    <col customWidth="1" min="3" max="3" width="27.0"/>
    <col customWidth="1" min="4" max="4" width="27.88"/>
    <col customWidth="1" min="5" max="5" width="28.88"/>
    <col customWidth="1" min="6" max="7" width="26.38"/>
  </cols>
  <sheetData>
    <row r="2">
      <c r="B2" s="1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>
      <c r="B3" s="2">
        <v>1.0</v>
      </c>
      <c r="C3" s="2">
        <v>3732997.0</v>
      </c>
      <c r="D3" s="2">
        <v>2307795.0</v>
      </c>
      <c r="E3" s="2">
        <v>1211805.0</v>
      </c>
      <c r="F3" s="2">
        <v>969706.0</v>
      </c>
      <c r="G3" s="2">
        <v>950181.0</v>
      </c>
    </row>
    <row r="4">
      <c r="B4" s="2">
        <f t="shared" ref="B4:B32" si="1">B3+1</f>
        <v>2</v>
      </c>
      <c r="C4" s="2">
        <v>3997688.0</v>
      </c>
      <c r="D4" s="2">
        <v>1814080.0</v>
      </c>
      <c r="E4" s="2">
        <v>954370.0</v>
      </c>
      <c r="F4" s="2">
        <v>988968.0</v>
      </c>
      <c r="G4" s="2">
        <v>865673.0</v>
      </c>
    </row>
    <row r="5">
      <c r="B5" s="2">
        <f t="shared" si="1"/>
        <v>3</v>
      </c>
      <c r="C5" s="2">
        <v>3776040.0</v>
      </c>
      <c r="D5" s="2">
        <v>1969455.0</v>
      </c>
      <c r="E5" s="2">
        <v>917914.0</v>
      </c>
      <c r="F5" s="2">
        <v>918207.0</v>
      </c>
      <c r="G5" s="2">
        <v>903417.0</v>
      </c>
    </row>
    <row r="6">
      <c r="B6" s="2">
        <f t="shared" si="1"/>
        <v>4</v>
      </c>
      <c r="C6" s="2">
        <v>3615325.0</v>
      </c>
      <c r="D6" s="2">
        <v>1943666.0</v>
      </c>
      <c r="E6" s="2">
        <v>926414.0</v>
      </c>
      <c r="F6" s="2">
        <v>934245.0</v>
      </c>
      <c r="G6" s="2">
        <v>926159.0</v>
      </c>
    </row>
    <row r="7">
      <c r="B7" s="2">
        <f t="shared" si="1"/>
        <v>5</v>
      </c>
      <c r="C7" s="2">
        <v>3639750.0</v>
      </c>
      <c r="D7" s="2">
        <v>1971220.0</v>
      </c>
      <c r="E7" s="2">
        <v>895816.0</v>
      </c>
      <c r="F7" s="2">
        <v>908450.0</v>
      </c>
      <c r="G7" s="2">
        <v>934495.0</v>
      </c>
    </row>
    <row r="8">
      <c r="B8" s="2">
        <f t="shared" si="1"/>
        <v>6</v>
      </c>
      <c r="C8" s="2">
        <v>4492213.0</v>
      </c>
      <c r="D8" s="2">
        <v>1895578.0</v>
      </c>
      <c r="E8" s="2">
        <v>949192.0</v>
      </c>
      <c r="F8" s="2">
        <v>890509.0</v>
      </c>
      <c r="G8" s="2">
        <v>887347.0</v>
      </c>
    </row>
    <row r="9">
      <c r="B9" s="2">
        <f t="shared" si="1"/>
        <v>7</v>
      </c>
      <c r="C9" s="2">
        <v>3891289.0</v>
      </c>
      <c r="D9" s="2">
        <v>2171618.0</v>
      </c>
      <c r="E9" s="2">
        <v>970941.0</v>
      </c>
      <c r="F9" s="2">
        <v>994419.0</v>
      </c>
      <c r="G9" s="2">
        <v>936768.0</v>
      </c>
    </row>
    <row r="10">
      <c r="B10" s="2">
        <f t="shared" si="1"/>
        <v>8</v>
      </c>
      <c r="C10" s="2">
        <v>4720722.0</v>
      </c>
      <c r="D10" s="2">
        <v>1784786.0</v>
      </c>
      <c r="E10" s="2">
        <v>957648.0</v>
      </c>
      <c r="F10" s="2">
        <v>949433.0</v>
      </c>
      <c r="G10" s="2">
        <v>962911.0</v>
      </c>
    </row>
    <row r="11">
      <c r="B11" s="2">
        <f t="shared" si="1"/>
        <v>9</v>
      </c>
      <c r="C11" s="2">
        <v>4102319.0</v>
      </c>
      <c r="D11" s="2">
        <v>1744485.0</v>
      </c>
      <c r="E11" s="2">
        <v>907394.0</v>
      </c>
      <c r="F11" s="2">
        <v>1017980.0</v>
      </c>
      <c r="G11" s="2">
        <v>937705.0</v>
      </c>
    </row>
    <row r="12">
      <c r="B12" s="2">
        <f t="shared" si="1"/>
        <v>10</v>
      </c>
      <c r="C12" s="2">
        <v>3828057.0</v>
      </c>
      <c r="D12" s="2">
        <v>2190566.0</v>
      </c>
      <c r="E12" s="2">
        <v>992004.0</v>
      </c>
      <c r="F12" s="2">
        <v>901256.0</v>
      </c>
      <c r="G12" s="2">
        <v>910951.0</v>
      </c>
    </row>
    <row r="13">
      <c r="B13" s="2">
        <f t="shared" si="1"/>
        <v>11</v>
      </c>
      <c r="C13" s="2">
        <v>3652466.0</v>
      </c>
      <c r="D13" s="2">
        <v>2311106.0</v>
      </c>
      <c r="E13" s="2">
        <v>944237.0</v>
      </c>
      <c r="F13" s="2">
        <v>934210.0</v>
      </c>
      <c r="G13" s="2">
        <v>917224.0</v>
      </c>
    </row>
    <row r="14">
      <c r="B14" s="2">
        <f t="shared" si="1"/>
        <v>12</v>
      </c>
      <c r="C14" s="2">
        <v>3575740.0</v>
      </c>
      <c r="D14" s="2">
        <v>2008046.0</v>
      </c>
      <c r="E14" s="2">
        <v>946870.0</v>
      </c>
      <c r="F14" s="2">
        <v>949894.0</v>
      </c>
      <c r="G14" s="2">
        <v>936838.0</v>
      </c>
    </row>
    <row r="15">
      <c r="B15" s="2">
        <f t="shared" si="1"/>
        <v>13</v>
      </c>
      <c r="C15" s="2">
        <v>4038070.0</v>
      </c>
      <c r="D15" s="2">
        <v>2428887.0</v>
      </c>
      <c r="E15" s="2">
        <v>941982.0</v>
      </c>
      <c r="F15" s="2">
        <v>970066.0</v>
      </c>
      <c r="G15" s="2">
        <v>942331.0</v>
      </c>
    </row>
    <row r="16">
      <c r="B16" s="2">
        <f t="shared" si="1"/>
        <v>14</v>
      </c>
      <c r="C16" s="2">
        <v>3849752.0</v>
      </c>
      <c r="D16" s="2">
        <v>1743124.0</v>
      </c>
      <c r="E16" s="2">
        <v>920220.0</v>
      </c>
      <c r="F16" s="2">
        <v>951614.0</v>
      </c>
      <c r="G16" s="2">
        <v>909596.0</v>
      </c>
    </row>
    <row r="17">
      <c r="B17" s="2">
        <f t="shared" si="1"/>
        <v>15</v>
      </c>
      <c r="C17" s="2">
        <v>3625234.0</v>
      </c>
      <c r="D17" s="2">
        <v>1961147.0</v>
      </c>
      <c r="E17" s="2">
        <v>987505.0</v>
      </c>
      <c r="F17" s="2">
        <v>914245.0</v>
      </c>
      <c r="G17" s="2">
        <v>900881.0</v>
      </c>
    </row>
    <row r="18">
      <c r="B18" s="2">
        <f t="shared" si="1"/>
        <v>16</v>
      </c>
      <c r="C18" s="2">
        <v>3646227.0</v>
      </c>
      <c r="D18" s="2">
        <v>2012372.0</v>
      </c>
      <c r="E18" s="2">
        <v>943393.0</v>
      </c>
      <c r="F18" s="2">
        <v>934959.0</v>
      </c>
      <c r="G18" s="2">
        <v>880920.0</v>
      </c>
    </row>
    <row r="19">
      <c r="B19" s="2">
        <f t="shared" si="1"/>
        <v>17</v>
      </c>
      <c r="C19" s="2">
        <v>3954141.0</v>
      </c>
      <c r="D19" s="2">
        <v>2171303.0</v>
      </c>
      <c r="E19" s="2">
        <v>951684.0</v>
      </c>
      <c r="F19" s="2">
        <v>920409.0</v>
      </c>
      <c r="G19" s="2">
        <v>931889.0</v>
      </c>
    </row>
    <row r="20">
      <c r="B20" s="2">
        <f t="shared" si="1"/>
        <v>18</v>
      </c>
      <c r="C20" s="2">
        <v>3518054.0</v>
      </c>
      <c r="D20" s="2">
        <v>2490041.0</v>
      </c>
      <c r="E20" s="2">
        <v>984892.0</v>
      </c>
      <c r="F20" s="2">
        <v>887778.0</v>
      </c>
      <c r="G20" s="2">
        <v>918138.0</v>
      </c>
    </row>
    <row r="21">
      <c r="B21" s="2">
        <f t="shared" si="1"/>
        <v>19</v>
      </c>
      <c r="C21" s="2">
        <v>3644508.0</v>
      </c>
      <c r="D21" s="2">
        <v>1960323.0</v>
      </c>
      <c r="E21" s="2">
        <v>1337274.0</v>
      </c>
      <c r="F21" s="2">
        <v>965378.0</v>
      </c>
      <c r="G21" s="2">
        <v>980945.0</v>
      </c>
    </row>
    <row r="22">
      <c r="B22" s="2">
        <f t="shared" si="1"/>
        <v>20</v>
      </c>
      <c r="C22" s="2">
        <v>3778669.0</v>
      </c>
      <c r="D22" s="2">
        <v>2078214.0</v>
      </c>
      <c r="E22" s="2">
        <v>1496438.0</v>
      </c>
      <c r="F22" s="2">
        <v>966174.0</v>
      </c>
      <c r="G22" s="2">
        <v>929586.0</v>
      </c>
    </row>
    <row r="23">
      <c r="B23" s="2">
        <f t="shared" si="1"/>
        <v>21</v>
      </c>
      <c r="C23" s="2">
        <v>4223038.0</v>
      </c>
      <c r="D23" s="2">
        <v>1870837.0</v>
      </c>
      <c r="E23" s="2">
        <v>1300588.0</v>
      </c>
      <c r="F23" s="2">
        <v>940523.0</v>
      </c>
      <c r="G23" s="2">
        <v>935549.0</v>
      </c>
    </row>
    <row r="24">
      <c r="B24" s="2">
        <f t="shared" si="1"/>
        <v>22</v>
      </c>
      <c r="C24" s="2">
        <v>3769121.0</v>
      </c>
      <c r="D24" s="2">
        <v>2223891.0</v>
      </c>
      <c r="E24" s="2">
        <v>1204545.0</v>
      </c>
      <c r="F24" s="2">
        <v>906898.0</v>
      </c>
      <c r="G24" s="2">
        <v>1043075.0</v>
      </c>
    </row>
    <row r="25">
      <c r="B25" s="2">
        <f t="shared" si="1"/>
        <v>23</v>
      </c>
      <c r="C25" s="2">
        <v>3611533.0</v>
      </c>
      <c r="D25" s="2">
        <v>1926386.0</v>
      </c>
      <c r="E25" s="2">
        <v>1032328.0</v>
      </c>
      <c r="F25" s="2">
        <v>946352.0</v>
      </c>
      <c r="G25" s="2">
        <v>928839.0</v>
      </c>
    </row>
    <row r="26">
      <c r="B26" s="2">
        <f t="shared" si="1"/>
        <v>24</v>
      </c>
      <c r="C26" s="2">
        <v>3781382.0</v>
      </c>
      <c r="D26" s="2">
        <v>2015791.0</v>
      </c>
      <c r="E26" s="2">
        <v>965264.0</v>
      </c>
      <c r="F26" s="2">
        <v>898345.0</v>
      </c>
      <c r="G26" s="2">
        <v>906403.0</v>
      </c>
    </row>
    <row r="27">
      <c r="B27" s="2">
        <f t="shared" si="1"/>
        <v>25</v>
      </c>
      <c r="C27" s="2">
        <v>3791839.0</v>
      </c>
      <c r="D27" s="2">
        <v>2313446.0</v>
      </c>
      <c r="E27" s="2">
        <v>990866.0</v>
      </c>
      <c r="F27" s="2">
        <v>931968.0</v>
      </c>
      <c r="G27" s="2">
        <v>899255.0</v>
      </c>
    </row>
    <row r="28">
      <c r="B28" s="2">
        <f t="shared" si="1"/>
        <v>26</v>
      </c>
      <c r="C28" s="2">
        <v>3499750.0</v>
      </c>
      <c r="D28" s="2">
        <v>1939954.0</v>
      </c>
      <c r="E28" s="2">
        <v>963598.0</v>
      </c>
      <c r="F28" s="2">
        <v>925313.0</v>
      </c>
      <c r="G28" s="2">
        <v>891841.0</v>
      </c>
    </row>
    <row r="29">
      <c r="B29" s="2">
        <f t="shared" si="1"/>
        <v>27</v>
      </c>
      <c r="C29" s="2">
        <v>3646752.0</v>
      </c>
      <c r="D29" s="2">
        <v>2032890.0</v>
      </c>
      <c r="E29" s="2">
        <v>995090.0</v>
      </c>
      <c r="F29" s="2">
        <v>935984.0</v>
      </c>
      <c r="G29" s="2">
        <v>898683.0</v>
      </c>
    </row>
    <row r="30">
      <c r="B30" s="2">
        <f t="shared" si="1"/>
        <v>28</v>
      </c>
      <c r="C30" s="2">
        <v>3449593.0</v>
      </c>
      <c r="D30" s="2">
        <v>1904492.0</v>
      </c>
      <c r="E30" s="2">
        <v>985608.0</v>
      </c>
      <c r="F30" s="2">
        <v>923801.0</v>
      </c>
      <c r="G30" s="2">
        <v>939192.0</v>
      </c>
    </row>
    <row r="31">
      <c r="B31" s="2">
        <f t="shared" si="1"/>
        <v>29</v>
      </c>
      <c r="C31" s="2">
        <v>4229999.0</v>
      </c>
      <c r="D31" s="2">
        <v>1909268.0</v>
      </c>
      <c r="E31" s="2">
        <v>1037448.0</v>
      </c>
      <c r="F31" s="2">
        <v>884832.0</v>
      </c>
      <c r="G31" s="2">
        <v>935832.0</v>
      </c>
    </row>
    <row r="32">
      <c r="B32" s="2">
        <f t="shared" si="1"/>
        <v>30</v>
      </c>
      <c r="C32" s="2">
        <v>3595589.0</v>
      </c>
      <c r="D32" s="2">
        <v>2010572.0</v>
      </c>
      <c r="E32" s="2">
        <v>1005118.0</v>
      </c>
      <c r="F32" s="2">
        <v>946082.0</v>
      </c>
      <c r="G32" s="2">
        <v>917883.0</v>
      </c>
    </row>
    <row r="33">
      <c r="B33" s="2" t="s">
        <v>15</v>
      </c>
      <c r="C33" s="1">
        <f t="shared" ref="C33:G33" si="2">AVERAGE(C3:C32)</f>
        <v>3822595.233</v>
      </c>
      <c r="D33" s="1">
        <f t="shared" si="2"/>
        <v>2036844.633</v>
      </c>
      <c r="E33" s="1">
        <f t="shared" si="2"/>
        <v>1020614.867</v>
      </c>
      <c r="F33" s="1">
        <f t="shared" si="2"/>
        <v>936933.2667</v>
      </c>
      <c r="G33" s="1">
        <f t="shared" si="2"/>
        <v>925350.2333</v>
      </c>
    </row>
    <row r="34">
      <c r="B34" s="2" t="s">
        <v>16</v>
      </c>
      <c r="C34" s="1">
        <f t="shared" ref="C34:G34" si="3">STDEV(C3:C32)</f>
        <v>294094.4814</v>
      </c>
      <c r="D34" s="1">
        <f t="shared" si="3"/>
        <v>194784.6255</v>
      </c>
      <c r="E34" s="1">
        <f t="shared" si="3"/>
        <v>142679.2435</v>
      </c>
      <c r="F34" s="1">
        <f t="shared" si="3"/>
        <v>32373.46193</v>
      </c>
      <c r="G34" s="1">
        <f t="shared" si="3"/>
        <v>33117.35249</v>
      </c>
    </row>
    <row r="37">
      <c r="A37" s="2" t="s">
        <v>17</v>
      </c>
      <c r="B37" s="2" t="s">
        <v>23</v>
      </c>
      <c r="C37" s="2" t="s">
        <v>9</v>
      </c>
    </row>
    <row r="38">
      <c r="A38" s="1">
        <f>STDEV(C3:C32)</f>
        <v>294094.4814</v>
      </c>
      <c r="B38" s="1">
        <f>AVERAGE(C3:C32)</f>
        <v>3822595.233</v>
      </c>
      <c r="C38" s="2">
        <v>1.0</v>
      </c>
    </row>
    <row r="39">
      <c r="A39" s="1">
        <f>STDEV(D3:D32)</f>
        <v>194784.6255</v>
      </c>
      <c r="B39" s="1">
        <f>AVERAGE(D3:D32)</f>
        <v>2036844.633</v>
      </c>
      <c r="C39" s="2">
        <v>2.0</v>
      </c>
    </row>
    <row r="40">
      <c r="A40" s="1">
        <f>STDEV(E3:E32)</f>
        <v>142679.2435</v>
      </c>
      <c r="B40" s="1">
        <f>AVERAGE(E3:E32)</f>
        <v>1020614.867</v>
      </c>
      <c r="C40" s="2">
        <v>4.0</v>
      </c>
    </row>
    <row r="41">
      <c r="A41" s="1">
        <f>STDEV(F3:F32)</f>
        <v>32373.46193</v>
      </c>
      <c r="B41" s="1">
        <f>AVERAGE(F3:F32)</f>
        <v>936933.2667</v>
      </c>
      <c r="C41" s="2">
        <v>8.0</v>
      </c>
    </row>
    <row r="42">
      <c r="A42" s="1">
        <f>STDEV(G3:G32)</f>
        <v>33117.35249</v>
      </c>
      <c r="B42" s="1">
        <f>AVERAGE(G3:G32)</f>
        <v>925350.2333</v>
      </c>
      <c r="C42" s="2">
        <v>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13"/>
    <col customWidth="1" min="3" max="3" width="26.75"/>
    <col customWidth="1" min="4" max="4" width="28.25"/>
    <col customWidth="1" min="5" max="6" width="28.13"/>
    <col customWidth="1" min="7" max="7" width="28.25"/>
  </cols>
  <sheetData>
    <row r="2">
      <c r="B2" s="1"/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>
      <c r="B3" s="2">
        <v>1.0</v>
      </c>
      <c r="C3" s="2">
        <v>9765217.0</v>
      </c>
      <c r="D3" s="2">
        <v>4888102.0</v>
      </c>
      <c r="E3" s="2">
        <v>2321699.0</v>
      </c>
      <c r="F3" s="2">
        <v>2189318.0</v>
      </c>
      <c r="G3" s="2">
        <v>2218545.0</v>
      </c>
    </row>
    <row r="4">
      <c r="B4" s="2">
        <f t="shared" ref="B4:B32" si="1">B3+1</f>
        <v>2</v>
      </c>
      <c r="C4" s="2">
        <v>9499076.0</v>
      </c>
      <c r="D4" s="2">
        <v>4886096.0</v>
      </c>
      <c r="E4" s="2">
        <v>2351785.0</v>
      </c>
      <c r="F4" s="2">
        <v>2227957.0</v>
      </c>
      <c r="G4" s="2">
        <v>2101406.0</v>
      </c>
    </row>
    <row r="5">
      <c r="B5" s="2">
        <f t="shared" si="1"/>
        <v>3</v>
      </c>
      <c r="C5" s="2">
        <v>9571420.0</v>
      </c>
      <c r="D5" s="2">
        <v>5147262.0</v>
      </c>
      <c r="E5" s="2">
        <v>2301189.0</v>
      </c>
      <c r="F5" s="2">
        <v>2300597.0</v>
      </c>
      <c r="G5" s="2">
        <v>2153420.0</v>
      </c>
    </row>
    <row r="6">
      <c r="B6" s="2">
        <f t="shared" si="1"/>
        <v>4</v>
      </c>
      <c r="C6" s="2">
        <v>9616978.0</v>
      </c>
      <c r="D6" s="2">
        <v>4842377.0</v>
      </c>
      <c r="E6" s="2">
        <v>2188896.0</v>
      </c>
      <c r="F6" s="2">
        <v>2198498.0</v>
      </c>
      <c r="G6" s="2">
        <v>2162896.0</v>
      </c>
    </row>
    <row r="7">
      <c r="B7" s="2">
        <f t="shared" si="1"/>
        <v>5</v>
      </c>
      <c r="C7" s="2">
        <v>9771585.0</v>
      </c>
      <c r="D7" s="2">
        <v>4573966.0</v>
      </c>
      <c r="E7" s="2">
        <v>2130051.0</v>
      </c>
      <c r="F7" s="2">
        <v>2173433.0</v>
      </c>
      <c r="G7" s="2">
        <v>2179203.0</v>
      </c>
    </row>
    <row r="8">
      <c r="B8" s="2">
        <f t="shared" si="1"/>
        <v>6</v>
      </c>
      <c r="C8" s="2">
        <v>9695273.0</v>
      </c>
      <c r="D8" s="2">
        <v>4761237.0</v>
      </c>
      <c r="E8" s="2">
        <v>2267859.0</v>
      </c>
      <c r="F8" s="2">
        <v>2231020.0</v>
      </c>
      <c r="G8" s="2">
        <v>2106660.0</v>
      </c>
    </row>
    <row r="9">
      <c r="B9" s="2">
        <f t="shared" si="1"/>
        <v>7</v>
      </c>
      <c r="C9" s="2">
        <v>9950061.0</v>
      </c>
      <c r="D9" s="2">
        <v>4731479.0</v>
      </c>
      <c r="E9" s="2">
        <v>2210931.0</v>
      </c>
      <c r="F9" s="2">
        <v>2322869.0</v>
      </c>
      <c r="G9" s="2">
        <v>2162991.0</v>
      </c>
    </row>
    <row r="10">
      <c r="B10" s="2">
        <f t="shared" si="1"/>
        <v>8</v>
      </c>
      <c r="C10" s="2">
        <v>9854552.0</v>
      </c>
      <c r="D10" s="2">
        <v>4979757.0</v>
      </c>
      <c r="E10" s="2">
        <v>2405272.0</v>
      </c>
      <c r="F10" s="2">
        <v>2208422.0</v>
      </c>
      <c r="G10" s="2">
        <v>2201395.0</v>
      </c>
    </row>
    <row r="11">
      <c r="B11" s="2">
        <f t="shared" si="1"/>
        <v>9</v>
      </c>
      <c r="C11" s="2">
        <v>9359797.0</v>
      </c>
      <c r="D11" s="2">
        <v>4719199.0</v>
      </c>
      <c r="E11" s="2">
        <v>2382164.0</v>
      </c>
      <c r="F11" s="2">
        <v>2207035.0</v>
      </c>
      <c r="G11" s="2">
        <v>2231505.0</v>
      </c>
    </row>
    <row r="12">
      <c r="B12" s="2">
        <f t="shared" si="1"/>
        <v>10</v>
      </c>
      <c r="C12" s="2">
        <v>9880761.0</v>
      </c>
      <c r="D12" s="2">
        <v>4672624.0</v>
      </c>
      <c r="E12" s="2">
        <v>2285634.0</v>
      </c>
      <c r="F12" s="2">
        <v>2214072.0</v>
      </c>
      <c r="G12" s="2">
        <v>2226699.0</v>
      </c>
    </row>
    <row r="13">
      <c r="B13" s="2">
        <f t="shared" si="1"/>
        <v>11</v>
      </c>
      <c r="C13" s="2">
        <v>9417919.0</v>
      </c>
      <c r="D13" s="2">
        <v>4725703.0</v>
      </c>
      <c r="E13" s="2">
        <v>2380297.0</v>
      </c>
      <c r="F13" s="2">
        <v>2108861.0</v>
      </c>
      <c r="G13" s="2">
        <v>2174117.0</v>
      </c>
    </row>
    <row r="14">
      <c r="B14" s="2">
        <f t="shared" si="1"/>
        <v>12</v>
      </c>
      <c r="C14" s="2">
        <v>9673838.0</v>
      </c>
      <c r="D14" s="2">
        <v>4707936.0</v>
      </c>
      <c r="E14" s="2">
        <v>2259264.0</v>
      </c>
      <c r="F14" s="2">
        <v>2252740.0</v>
      </c>
      <c r="G14" s="2">
        <v>2169514.0</v>
      </c>
    </row>
    <row r="15">
      <c r="B15" s="2">
        <f t="shared" si="1"/>
        <v>13</v>
      </c>
      <c r="C15" s="2">
        <v>9974253.0</v>
      </c>
      <c r="D15" s="2">
        <v>5165883.0</v>
      </c>
      <c r="E15" s="2">
        <v>2264569.0</v>
      </c>
      <c r="F15" s="2">
        <v>2197481.0</v>
      </c>
      <c r="G15" s="2">
        <v>2164448.0</v>
      </c>
    </row>
    <row r="16">
      <c r="B16" s="2">
        <f t="shared" si="1"/>
        <v>14</v>
      </c>
      <c r="C16" s="2">
        <v>1.0242724E7</v>
      </c>
      <c r="D16" s="2">
        <v>4838451.0</v>
      </c>
      <c r="E16" s="2">
        <v>2216937.0</v>
      </c>
      <c r="F16" s="2">
        <v>2167664.0</v>
      </c>
      <c r="G16" s="2">
        <v>2205002.0</v>
      </c>
    </row>
    <row r="17">
      <c r="B17" s="2">
        <f t="shared" si="1"/>
        <v>15</v>
      </c>
      <c r="C17" s="2">
        <v>9901762.0</v>
      </c>
      <c r="D17" s="2">
        <v>4965391.0</v>
      </c>
      <c r="E17" s="2">
        <v>2265491.0</v>
      </c>
      <c r="F17" s="2">
        <v>2174349.0</v>
      </c>
      <c r="G17" s="2">
        <v>2178674.0</v>
      </c>
    </row>
    <row r="18">
      <c r="B18" s="2">
        <f t="shared" si="1"/>
        <v>16</v>
      </c>
      <c r="C18" s="2">
        <v>9731294.0</v>
      </c>
      <c r="D18" s="2">
        <v>4908773.0</v>
      </c>
      <c r="E18" s="2">
        <v>2276276.0</v>
      </c>
      <c r="F18" s="2">
        <v>2268362.0</v>
      </c>
      <c r="G18" s="2">
        <v>2222611.0</v>
      </c>
    </row>
    <row r="19">
      <c r="B19" s="2">
        <f t="shared" si="1"/>
        <v>17</v>
      </c>
      <c r="C19" s="2">
        <v>1.0103069E7</v>
      </c>
      <c r="D19" s="2">
        <v>4881239.0</v>
      </c>
      <c r="E19" s="2">
        <v>2264568.0</v>
      </c>
      <c r="F19" s="2">
        <v>2222574.0</v>
      </c>
      <c r="G19" s="2">
        <v>2178428.0</v>
      </c>
    </row>
    <row r="20">
      <c r="B20" s="2">
        <f t="shared" si="1"/>
        <v>18</v>
      </c>
      <c r="C20" s="2">
        <v>9643521.0</v>
      </c>
      <c r="D20" s="2">
        <v>4795883.0</v>
      </c>
      <c r="E20" s="2">
        <v>2123666.0</v>
      </c>
      <c r="F20" s="2">
        <v>2157653.0</v>
      </c>
      <c r="G20" s="2">
        <v>2151259.0</v>
      </c>
    </row>
    <row r="21">
      <c r="B21" s="2">
        <f t="shared" si="1"/>
        <v>19</v>
      </c>
      <c r="C21" s="2">
        <v>1.0119312E7</v>
      </c>
      <c r="D21" s="2">
        <v>4929484.0</v>
      </c>
      <c r="E21" s="2">
        <v>2237783.0</v>
      </c>
      <c r="F21" s="2">
        <v>2333108.0</v>
      </c>
      <c r="G21" s="2">
        <v>2252640.0</v>
      </c>
    </row>
    <row r="22">
      <c r="B22" s="2">
        <f t="shared" si="1"/>
        <v>20</v>
      </c>
      <c r="C22" s="2">
        <v>9996092.0</v>
      </c>
      <c r="D22" s="2">
        <v>5435720.0</v>
      </c>
      <c r="E22" s="2">
        <v>2338705.0</v>
      </c>
      <c r="F22" s="2">
        <v>2162137.0</v>
      </c>
      <c r="G22" s="2">
        <v>2197014.0</v>
      </c>
    </row>
    <row r="23">
      <c r="B23" s="2">
        <f t="shared" si="1"/>
        <v>21</v>
      </c>
      <c r="C23" s="2">
        <v>1.0145499E7</v>
      </c>
      <c r="D23" s="2">
        <v>5124824.0</v>
      </c>
      <c r="E23" s="2">
        <v>2291887.0</v>
      </c>
      <c r="F23" s="2">
        <v>2153331.0</v>
      </c>
      <c r="G23" s="2">
        <v>2096934.0</v>
      </c>
    </row>
    <row r="24">
      <c r="B24" s="2">
        <f t="shared" si="1"/>
        <v>22</v>
      </c>
      <c r="C24" s="2">
        <v>9541126.0</v>
      </c>
      <c r="D24" s="2">
        <v>5804343.0</v>
      </c>
      <c r="E24" s="2">
        <v>2213991.0</v>
      </c>
      <c r="F24" s="2">
        <v>2207380.0</v>
      </c>
      <c r="G24" s="2">
        <v>2157890.0</v>
      </c>
    </row>
    <row r="25">
      <c r="B25" s="2">
        <f t="shared" si="1"/>
        <v>23</v>
      </c>
      <c r="C25" s="2">
        <v>1.0147472E7</v>
      </c>
      <c r="D25" s="2">
        <v>5069004.0</v>
      </c>
      <c r="E25" s="2">
        <v>2270712.0</v>
      </c>
      <c r="F25" s="2">
        <v>2183435.0</v>
      </c>
      <c r="G25" s="2">
        <v>2131991.0</v>
      </c>
    </row>
    <row r="26">
      <c r="B26" s="2">
        <f t="shared" si="1"/>
        <v>24</v>
      </c>
      <c r="C26" s="2">
        <v>1.0199312E7</v>
      </c>
      <c r="D26" s="2">
        <v>4784657.0</v>
      </c>
      <c r="E26" s="2">
        <v>2308067.0</v>
      </c>
      <c r="F26" s="2">
        <v>2480010.0</v>
      </c>
      <c r="G26" s="2">
        <v>2247811.0</v>
      </c>
    </row>
    <row r="27">
      <c r="B27" s="2">
        <f t="shared" si="1"/>
        <v>25</v>
      </c>
      <c r="C27" s="2">
        <v>1.0190311E7</v>
      </c>
      <c r="D27" s="2">
        <v>4995439.0</v>
      </c>
      <c r="E27" s="2">
        <v>2179440.0</v>
      </c>
      <c r="F27" s="2">
        <v>2218871.0</v>
      </c>
      <c r="G27" s="2">
        <v>2229936.0</v>
      </c>
    </row>
    <row r="28">
      <c r="B28" s="2">
        <f t="shared" si="1"/>
        <v>26</v>
      </c>
      <c r="C28" s="2">
        <v>9686565.0</v>
      </c>
      <c r="D28" s="2">
        <v>5534862.0</v>
      </c>
      <c r="E28" s="2">
        <v>2312391.0</v>
      </c>
      <c r="F28" s="2">
        <v>2218761.0</v>
      </c>
      <c r="G28" s="2">
        <v>2135727.0</v>
      </c>
    </row>
    <row r="29">
      <c r="B29" s="2">
        <f t="shared" si="1"/>
        <v>27</v>
      </c>
      <c r="C29" s="2">
        <v>9757240.0</v>
      </c>
      <c r="D29" s="2">
        <v>4815071.0</v>
      </c>
      <c r="E29" s="2">
        <v>2317620.0</v>
      </c>
      <c r="F29" s="2">
        <v>2134735.0</v>
      </c>
      <c r="G29" s="2">
        <v>2104237.0</v>
      </c>
    </row>
    <row r="30">
      <c r="B30" s="2">
        <f t="shared" si="1"/>
        <v>28</v>
      </c>
      <c r="C30" s="2">
        <v>1.0020503E7</v>
      </c>
      <c r="D30" s="2">
        <v>5019963.0</v>
      </c>
      <c r="E30" s="2">
        <v>2197769.0</v>
      </c>
      <c r="F30" s="2">
        <v>2222817.0</v>
      </c>
      <c r="G30" s="2">
        <v>2202527.0</v>
      </c>
    </row>
    <row r="31">
      <c r="B31" s="2">
        <f t="shared" si="1"/>
        <v>29</v>
      </c>
      <c r="C31" s="2">
        <v>9543594.0</v>
      </c>
      <c r="D31" s="2">
        <v>4713164.0</v>
      </c>
      <c r="E31" s="2">
        <v>2295248.0</v>
      </c>
      <c r="F31" s="2">
        <v>2242672.0</v>
      </c>
      <c r="G31" s="2">
        <v>2197254.0</v>
      </c>
    </row>
    <row r="32">
      <c r="B32" s="2">
        <f t="shared" si="1"/>
        <v>30</v>
      </c>
      <c r="C32" s="2">
        <v>9331559.0</v>
      </c>
      <c r="D32" s="2">
        <v>5402414.0</v>
      </c>
      <c r="E32" s="2">
        <v>2196607.0</v>
      </c>
      <c r="F32" s="2">
        <v>2128108.0</v>
      </c>
      <c r="G32" s="2">
        <v>2119215.0</v>
      </c>
    </row>
    <row r="33">
      <c r="B33" s="2" t="s">
        <v>15</v>
      </c>
      <c r="C33" s="1">
        <f t="shared" ref="C33:G33" si="2">AVERAGE(C3:C32)</f>
        <v>9811056.167</v>
      </c>
      <c r="D33" s="1">
        <f t="shared" si="2"/>
        <v>4960676.767</v>
      </c>
      <c r="E33" s="1">
        <f t="shared" si="2"/>
        <v>2268558.933</v>
      </c>
      <c r="F33" s="1">
        <f t="shared" si="2"/>
        <v>2216942.333</v>
      </c>
      <c r="G33" s="1">
        <f t="shared" si="2"/>
        <v>2175398.3</v>
      </c>
    </row>
    <row r="34">
      <c r="B34" s="2" t="s">
        <v>16</v>
      </c>
      <c r="C34" s="1">
        <f t="shared" ref="C34:G34" si="3">STDEV(C3:C32)</f>
        <v>265156.0173</v>
      </c>
      <c r="D34" s="1">
        <f t="shared" si="3"/>
        <v>280119.7615</v>
      </c>
      <c r="E34" s="1">
        <f t="shared" si="3"/>
        <v>69978.52402</v>
      </c>
      <c r="F34" s="1">
        <f t="shared" si="3"/>
        <v>72350.93582</v>
      </c>
      <c r="G34" s="1">
        <f t="shared" si="3"/>
        <v>44410.22952</v>
      </c>
    </row>
    <row r="37">
      <c r="A37" s="2" t="s">
        <v>17</v>
      </c>
      <c r="B37" s="2" t="s">
        <v>23</v>
      </c>
      <c r="C37" s="2" t="s">
        <v>9</v>
      </c>
    </row>
    <row r="38">
      <c r="A38" s="1">
        <f>STDEV(C3:C32)</f>
        <v>265156.0173</v>
      </c>
      <c r="B38" s="1">
        <f>AVERAGE(C3:C32)</f>
        <v>9811056.167</v>
      </c>
      <c r="C38" s="2">
        <v>1.0</v>
      </c>
    </row>
    <row r="39">
      <c r="A39" s="1">
        <f>STDEV(D3:D32)</f>
        <v>280119.7615</v>
      </c>
      <c r="B39" s="1">
        <f>AVERAGE(D3:D32)</f>
        <v>4960676.767</v>
      </c>
      <c r="C39" s="2">
        <v>2.0</v>
      </c>
    </row>
    <row r="40">
      <c r="A40" s="1">
        <f>STDEV(E3:E32)</f>
        <v>69978.52402</v>
      </c>
      <c r="B40" s="1">
        <f>AVERAGE(E3:E32)</f>
        <v>2268558.933</v>
      </c>
      <c r="C40" s="2">
        <v>4.0</v>
      </c>
    </row>
    <row r="41">
      <c r="A41" s="1">
        <f>STDEV(F3:F32)</f>
        <v>72350.93582</v>
      </c>
      <c r="B41" s="1">
        <f>AVERAGE(F3:F32)</f>
        <v>2216942.333</v>
      </c>
      <c r="C41" s="2">
        <v>8.0</v>
      </c>
    </row>
    <row r="42">
      <c r="A42" s="1">
        <f>STDEV(G3:G32)</f>
        <v>44410.22952</v>
      </c>
      <c r="B42" s="1">
        <f>AVERAGE(G3:G32)</f>
        <v>2175398.3</v>
      </c>
      <c r="C42" s="2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7.75"/>
    <col customWidth="1" min="3" max="3" width="27.13"/>
    <col customWidth="1" min="4" max="4" width="25.0"/>
    <col customWidth="1" min="5" max="5" width="27.25"/>
    <col customWidth="1" min="6" max="6" width="25.88"/>
    <col customWidth="1" min="7" max="7" width="26.5"/>
  </cols>
  <sheetData>
    <row r="3">
      <c r="B3" s="1"/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</row>
    <row r="4">
      <c r="B4" s="2">
        <v>1.0</v>
      </c>
      <c r="C4" s="2">
        <v>2.2817949E7</v>
      </c>
      <c r="D4" s="2">
        <v>1.1136078E7</v>
      </c>
      <c r="E4" s="2">
        <v>5684070.0</v>
      </c>
      <c r="F4" s="2">
        <v>4690601.0</v>
      </c>
      <c r="G4" s="2">
        <v>4671420.0</v>
      </c>
    </row>
    <row r="5">
      <c r="B5" s="2">
        <f t="shared" ref="B5:B33" si="1">B4+1</f>
        <v>2</v>
      </c>
      <c r="C5" s="2">
        <v>2.3878648E7</v>
      </c>
      <c r="D5" s="2">
        <v>1.119778E7</v>
      </c>
      <c r="E5" s="2">
        <v>5355522.0</v>
      </c>
      <c r="F5" s="2">
        <v>4813596.0</v>
      </c>
      <c r="G5" s="2">
        <v>4382810.0</v>
      </c>
    </row>
    <row r="6">
      <c r="B6" s="2">
        <f t="shared" si="1"/>
        <v>3</v>
      </c>
      <c r="C6" s="2">
        <v>2.272438E7</v>
      </c>
      <c r="D6" s="2">
        <v>1.199953E7</v>
      </c>
      <c r="E6" s="2">
        <v>5296782.0</v>
      </c>
      <c r="F6" s="2">
        <v>4819430.0</v>
      </c>
      <c r="G6" s="2">
        <v>4594694.0</v>
      </c>
    </row>
    <row r="7">
      <c r="B7" s="2">
        <f t="shared" si="1"/>
        <v>4</v>
      </c>
      <c r="C7" s="2">
        <v>2.2272006E7</v>
      </c>
      <c r="D7" s="2">
        <v>1.124879E7</v>
      </c>
      <c r="E7" s="2">
        <v>5316701.0</v>
      </c>
      <c r="F7" s="2">
        <v>4799416.0</v>
      </c>
      <c r="G7" s="2">
        <v>4638209.0</v>
      </c>
    </row>
    <row r="8">
      <c r="B8" s="2">
        <f t="shared" si="1"/>
        <v>5</v>
      </c>
      <c r="C8" s="2">
        <v>2.3542265E7</v>
      </c>
      <c r="D8" s="2">
        <v>1.1264376E7</v>
      </c>
      <c r="E8" s="2">
        <v>5181511.0</v>
      </c>
      <c r="F8" s="2">
        <v>4605390.0</v>
      </c>
      <c r="G8" s="2">
        <v>4535756.0</v>
      </c>
    </row>
    <row r="9">
      <c r="B9" s="2">
        <f t="shared" si="1"/>
        <v>6</v>
      </c>
      <c r="C9" s="2">
        <v>2.2919963E7</v>
      </c>
      <c r="D9" s="2">
        <v>1.1246526E7</v>
      </c>
      <c r="E9" s="2">
        <v>5309660.0</v>
      </c>
      <c r="F9" s="2">
        <v>4762231.0</v>
      </c>
      <c r="G9" s="2">
        <v>4460535.0</v>
      </c>
    </row>
    <row r="10">
      <c r="B10" s="2">
        <f t="shared" si="1"/>
        <v>7</v>
      </c>
      <c r="C10" s="2">
        <v>2.2371113E7</v>
      </c>
      <c r="D10" s="2">
        <v>1.1181645E7</v>
      </c>
      <c r="E10" s="2">
        <v>6944273.0</v>
      </c>
      <c r="F10" s="2">
        <v>4612407.0</v>
      </c>
      <c r="G10" s="2">
        <v>4571711.0</v>
      </c>
    </row>
    <row r="11">
      <c r="B11" s="2">
        <f t="shared" si="1"/>
        <v>8</v>
      </c>
      <c r="C11" s="2">
        <v>2.2506758E7</v>
      </c>
      <c r="D11" s="2">
        <v>1.1550872E7</v>
      </c>
      <c r="E11" s="2">
        <v>5294118.0</v>
      </c>
      <c r="F11" s="2">
        <v>4834408.0</v>
      </c>
      <c r="G11" s="2">
        <v>4477664.0</v>
      </c>
    </row>
    <row r="12">
      <c r="B12" s="2">
        <f t="shared" si="1"/>
        <v>9</v>
      </c>
      <c r="C12" s="2">
        <v>2.2324334E7</v>
      </c>
      <c r="D12" s="2">
        <v>1.1056946E7</v>
      </c>
      <c r="E12" s="2">
        <v>5270029.0</v>
      </c>
      <c r="F12" s="2">
        <v>4617499.0</v>
      </c>
      <c r="G12" s="2">
        <v>4514154.0</v>
      </c>
    </row>
    <row r="13">
      <c r="B13" s="2">
        <f t="shared" si="1"/>
        <v>10</v>
      </c>
      <c r="C13" s="2">
        <v>2.226914E7</v>
      </c>
      <c r="D13" s="2">
        <v>1.1310049E7</v>
      </c>
      <c r="E13" s="2">
        <v>5129115.0</v>
      </c>
      <c r="F13" s="2">
        <v>4762026.0</v>
      </c>
      <c r="G13" s="2">
        <v>4663267.0</v>
      </c>
    </row>
    <row r="14">
      <c r="B14" s="2">
        <f t="shared" si="1"/>
        <v>11</v>
      </c>
      <c r="C14" s="2">
        <v>2.2090162E7</v>
      </c>
      <c r="D14" s="2">
        <v>1.1398821E7</v>
      </c>
      <c r="E14" s="2">
        <v>5226239.0</v>
      </c>
      <c r="F14" s="2">
        <v>4700794.0</v>
      </c>
      <c r="G14" s="2">
        <v>4527239.0</v>
      </c>
    </row>
    <row r="15">
      <c r="B15" s="2">
        <f t="shared" si="1"/>
        <v>12</v>
      </c>
      <c r="C15" s="2">
        <v>2.2452252E7</v>
      </c>
      <c r="D15" s="2">
        <v>1.1107554E7</v>
      </c>
      <c r="E15" s="2">
        <v>5231471.0</v>
      </c>
      <c r="F15" s="2">
        <v>4851509.0</v>
      </c>
      <c r="G15" s="2">
        <v>4695367.0</v>
      </c>
    </row>
    <row r="16">
      <c r="B16" s="2">
        <f t="shared" si="1"/>
        <v>13</v>
      </c>
      <c r="C16" s="2">
        <v>2.2280695E7</v>
      </c>
      <c r="D16" s="2">
        <v>1.1225E7</v>
      </c>
      <c r="E16" s="2">
        <v>5199226.0</v>
      </c>
      <c r="F16" s="2">
        <v>4596295.0</v>
      </c>
      <c r="G16" s="2">
        <v>4500145.0</v>
      </c>
    </row>
    <row r="17">
      <c r="B17" s="2">
        <f t="shared" si="1"/>
        <v>14</v>
      </c>
      <c r="C17" s="2">
        <v>2.2350914E7</v>
      </c>
      <c r="D17" s="2">
        <v>1.141008E7</v>
      </c>
      <c r="E17" s="2">
        <v>5219638.0</v>
      </c>
      <c r="F17" s="2">
        <v>4639695.0</v>
      </c>
      <c r="G17" s="2">
        <v>4798292.0</v>
      </c>
    </row>
    <row r="18">
      <c r="B18" s="2">
        <f t="shared" si="1"/>
        <v>15</v>
      </c>
      <c r="C18" s="2">
        <v>2.2188148E7</v>
      </c>
      <c r="D18" s="2">
        <v>1.1579782E7</v>
      </c>
      <c r="E18" s="2">
        <v>5271457.0</v>
      </c>
      <c r="F18" s="2">
        <v>4752401.0</v>
      </c>
      <c r="G18" s="2">
        <v>4472366.0</v>
      </c>
    </row>
    <row r="19">
      <c r="B19" s="2">
        <f t="shared" si="1"/>
        <v>16</v>
      </c>
      <c r="C19" s="2">
        <v>2.2536833E7</v>
      </c>
      <c r="D19" s="2">
        <v>1.1096631E7</v>
      </c>
      <c r="E19" s="2">
        <v>5056689.0</v>
      </c>
      <c r="F19" s="2">
        <v>4708494.0</v>
      </c>
      <c r="G19" s="2">
        <v>4697826.0</v>
      </c>
    </row>
    <row r="20">
      <c r="B20" s="2">
        <f t="shared" si="1"/>
        <v>17</v>
      </c>
      <c r="C20" s="2">
        <v>2.2424549E7</v>
      </c>
      <c r="D20" s="2">
        <v>1.156555E7</v>
      </c>
      <c r="E20" s="2">
        <v>5136350.0</v>
      </c>
      <c r="F20" s="2">
        <v>4623464.0</v>
      </c>
      <c r="G20" s="2">
        <v>4441972.0</v>
      </c>
    </row>
    <row r="21">
      <c r="B21" s="2">
        <f t="shared" si="1"/>
        <v>18</v>
      </c>
      <c r="C21" s="2">
        <v>2.2316054E7</v>
      </c>
      <c r="D21" s="2">
        <v>1.1190238E7</v>
      </c>
      <c r="E21" s="2">
        <v>5237214.0</v>
      </c>
      <c r="F21" s="2">
        <v>4727230.0</v>
      </c>
      <c r="G21" s="2">
        <v>4431109.0</v>
      </c>
    </row>
    <row r="22">
      <c r="B22" s="2">
        <f t="shared" si="1"/>
        <v>19</v>
      </c>
      <c r="C22" s="2">
        <v>2.2317827E7</v>
      </c>
      <c r="D22" s="2">
        <v>1.138824E7</v>
      </c>
      <c r="E22" s="2">
        <v>5190522.0</v>
      </c>
      <c r="F22" s="2">
        <v>4676108.0</v>
      </c>
      <c r="G22" s="2">
        <v>4705944.0</v>
      </c>
    </row>
    <row r="23">
      <c r="B23" s="2">
        <f t="shared" si="1"/>
        <v>20</v>
      </c>
      <c r="C23" s="2">
        <v>2.2447677E7</v>
      </c>
      <c r="D23" s="2">
        <v>1.1159259E7</v>
      </c>
      <c r="E23" s="2">
        <v>5207098.0</v>
      </c>
      <c r="F23" s="2">
        <v>4585354.0</v>
      </c>
      <c r="G23" s="2">
        <v>4497651.0</v>
      </c>
    </row>
    <row r="24">
      <c r="B24" s="2">
        <f t="shared" si="1"/>
        <v>21</v>
      </c>
      <c r="C24" s="2">
        <v>2.2552076E7</v>
      </c>
      <c r="D24" s="2">
        <v>1.1556199E7</v>
      </c>
      <c r="E24" s="2">
        <v>5241619.0</v>
      </c>
      <c r="F24" s="2">
        <v>4617425.0</v>
      </c>
      <c r="G24" s="2">
        <v>4484568.0</v>
      </c>
    </row>
    <row r="25">
      <c r="B25" s="2">
        <f t="shared" si="1"/>
        <v>22</v>
      </c>
      <c r="C25" s="2">
        <v>2.2456606E7</v>
      </c>
      <c r="D25" s="2">
        <v>1.1537222E7</v>
      </c>
      <c r="E25" s="2">
        <v>5124490.0</v>
      </c>
      <c r="F25" s="2">
        <v>4599297.0</v>
      </c>
      <c r="G25" s="2">
        <v>4669850.0</v>
      </c>
    </row>
    <row r="26">
      <c r="B26" s="2">
        <f t="shared" si="1"/>
        <v>23</v>
      </c>
      <c r="C26" s="2">
        <v>2.2507555E7</v>
      </c>
      <c r="D26" s="2">
        <v>1.1738639E7</v>
      </c>
      <c r="E26" s="2">
        <v>5281475.0</v>
      </c>
      <c r="F26" s="2">
        <v>4612299.0</v>
      </c>
      <c r="G26" s="2">
        <v>4707835.0</v>
      </c>
    </row>
    <row r="27">
      <c r="B27" s="2">
        <f t="shared" si="1"/>
        <v>24</v>
      </c>
      <c r="C27" s="2">
        <v>2.2437134E7</v>
      </c>
      <c r="D27" s="2">
        <v>1.0884245E7</v>
      </c>
      <c r="E27" s="2">
        <v>5375616.0</v>
      </c>
      <c r="F27" s="2">
        <v>4751338.0</v>
      </c>
      <c r="G27" s="2">
        <v>4685027.0</v>
      </c>
    </row>
    <row r="28">
      <c r="B28" s="2">
        <f t="shared" si="1"/>
        <v>25</v>
      </c>
      <c r="C28" s="2">
        <v>2.2886925E7</v>
      </c>
      <c r="D28" s="2">
        <v>1.0852986E7</v>
      </c>
      <c r="E28" s="2">
        <v>5189318.0</v>
      </c>
      <c r="F28" s="2">
        <v>4406067.0</v>
      </c>
      <c r="G28" s="2">
        <v>4573663.0</v>
      </c>
    </row>
    <row r="29">
      <c r="B29" s="2">
        <f t="shared" si="1"/>
        <v>26</v>
      </c>
      <c r="C29" s="2">
        <v>2.2359595E7</v>
      </c>
      <c r="D29" s="2">
        <v>1.1328918E7</v>
      </c>
      <c r="E29" s="2">
        <v>5057173.0</v>
      </c>
      <c r="F29" s="2">
        <v>4626336.0</v>
      </c>
      <c r="G29" s="2">
        <v>4587357.0</v>
      </c>
    </row>
    <row r="30">
      <c r="B30" s="2">
        <f t="shared" si="1"/>
        <v>27</v>
      </c>
      <c r="C30" s="2">
        <v>2.2238214E7</v>
      </c>
      <c r="D30" s="2">
        <v>1.1904848E7</v>
      </c>
      <c r="E30" s="2">
        <v>5206055.0</v>
      </c>
      <c r="F30" s="2">
        <v>4762664.0</v>
      </c>
      <c r="G30" s="2">
        <v>4501674.0</v>
      </c>
    </row>
    <row r="31">
      <c r="B31" s="2">
        <f t="shared" si="1"/>
        <v>28</v>
      </c>
      <c r="C31" s="2">
        <v>2.248345E7</v>
      </c>
      <c r="D31" s="2">
        <v>1.1548876E7</v>
      </c>
      <c r="E31" s="2">
        <v>5060517.0</v>
      </c>
      <c r="F31" s="2">
        <v>4677000.0</v>
      </c>
      <c r="G31" s="2">
        <v>4670588.0</v>
      </c>
    </row>
    <row r="32">
      <c r="B32" s="2">
        <f t="shared" si="1"/>
        <v>29</v>
      </c>
      <c r="C32" s="2">
        <v>2.2335371E7</v>
      </c>
      <c r="D32" s="2">
        <v>1.1686568E7</v>
      </c>
      <c r="E32" s="2">
        <v>5282462.0</v>
      </c>
      <c r="F32" s="2">
        <v>4822730.0</v>
      </c>
      <c r="G32" s="2">
        <v>4703760.0</v>
      </c>
    </row>
    <row r="33">
      <c r="B33" s="2">
        <f t="shared" si="1"/>
        <v>30</v>
      </c>
      <c r="C33" s="2">
        <v>2.2456054E7</v>
      </c>
      <c r="D33" s="2">
        <v>1.266529E7</v>
      </c>
      <c r="E33" s="2">
        <v>5100196.0</v>
      </c>
      <c r="F33" s="2">
        <v>4883431.0</v>
      </c>
      <c r="G33" s="2">
        <v>4591366.0</v>
      </c>
    </row>
    <row r="34">
      <c r="B34" s="2" t="s">
        <v>15</v>
      </c>
      <c r="C34" s="1">
        <f t="shared" ref="C34:G34" si="2">AVERAGE(C4:C33)</f>
        <v>22524821.57</v>
      </c>
      <c r="D34" s="1">
        <f t="shared" si="2"/>
        <v>11400584.6</v>
      </c>
      <c r="E34" s="1">
        <f t="shared" si="2"/>
        <v>5289220.2</v>
      </c>
      <c r="F34" s="1">
        <f t="shared" si="2"/>
        <v>4697897.833</v>
      </c>
      <c r="G34" s="1">
        <f t="shared" si="2"/>
        <v>4581793.967</v>
      </c>
    </row>
    <row r="35">
      <c r="B35" s="2" t="s">
        <v>16</v>
      </c>
      <c r="C35" s="1">
        <f t="shared" ref="C35:G35" si="3">STDEV(C4:C33)</f>
        <v>377815.9893</v>
      </c>
      <c r="D35" s="1">
        <f t="shared" si="3"/>
        <v>361482.2623</v>
      </c>
      <c r="E35" s="1">
        <f t="shared" si="3"/>
        <v>334833.8363</v>
      </c>
      <c r="F35" s="1">
        <f t="shared" si="3"/>
        <v>104876.982</v>
      </c>
      <c r="G35" s="1">
        <f t="shared" si="3"/>
        <v>105483.4478</v>
      </c>
    </row>
    <row r="39">
      <c r="A39" s="2" t="s">
        <v>17</v>
      </c>
      <c r="B39" s="2" t="s">
        <v>23</v>
      </c>
      <c r="C39" s="2" t="s">
        <v>9</v>
      </c>
    </row>
    <row r="40">
      <c r="A40" s="1">
        <f>STDEV(C4:C33)</f>
        <v>377815.9893</v>
      </c>
      <c r="B40" s="1">
        <f>AVERAGE(C4:C33)</f>
        <v>22524821.57</v>
      </c>
      <c r="C40" s="2">
        <v>1.0</v>
      </c>
    </row>
    <row r="41">
      <c r="A41" s="1">
        <f>STDEV(D4:D33)</f>
        <v>361482.2623</v>
      </c>
      <c r="B41" s="1">
        <f>AVERAGE(D4:D33)</f>
        <v>11400584.6</v>
      </c>
      <c r="C41" s="2">
        <v>2.0</v>
      </c>
    </row>
    <row r="42">
      <c r="A42" s="1">
        <f>STDEV(E4:E33)</f>
        <v>334833.8363</v>
      </c>
      <c r="B42" s="1">
        <f>AVERAGE(E4:E33)</f>
        <v>5289220.2</v>
      </c>
      <c r="C42" s="2">
        <v>4.0</v>
      </c>
    </row>
    <row r="43">
      <c r="A43" s="1">
        <f>STDEV(F4:F33)</f>
        <v>104876.982</v>
      </c>
      <c r="B43" s="1">
        <f>AVERAGE(F4:F33)</f>
        <v>4697897.833</v>
      </c>
      <c r="C43" s="2">
        <v>8.0</v>
      </c>
    </row>
    <row r="44">
      <c r="A44" s="1">
        <f>STDEV(G4:G33)</f>
        <v>105483.4478</v>
      </c>
      <c r="B44" s="1">
        <f>AVERAGE(G4:G33)</f>
        <v>4581793.967</v>
      </c>
      <c r="C44" s="2">
        <v>12.0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0"/>
    <col customWidth="1" min="3" max="3" width="16.88"/>
    <col customWidth="1" min="4" max="4" width="26.13"/>
    <col customWidth="1" min="5" max="5" width="26.0"/>
    <col customWidth="1" min="6" max="6" width="25.13"/>
    <col customWidth="1" min="7" max="7" width="26.63"/>
    <col customWidth="1" min="8" max="8" width="26.5"/>
  </cols>
  <sheetData>
    <row r="2">
      <c r="C2" s="1"/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  <row r="3">
      <c r="C3" s="2">
        <v>1.0</v>
      </c>
      <c r="D3" s="2">
        <v>3.3662518E7</v>
      </c>
      <c r="E3" s="2">
        <v>1.6886201E7</v>
      </c>
      <c r="F3" s="2">
        <v>8473316.0</v>
      </c>
      <c r="G3" s="2">
        <v>7112314.0</v>
      </c>
      <c r="H3" s="2">
        <v>6732206.0</v>
      </c>
    </row>
    <row r="4">
      <c r="C4" s="1">
        <f t="shared" ref="C4:C32" si="1">C3+1</f>
        <v>2</v>
      </c>
      <c r="D4" s="2">
        <v>3.3053108E7</v>
      </c>
      <c r="E4" s="2">
        <v>1.6684784E7</v>
      </c>
      <c r="F4" s="2">
        <v>8076280.0</v>
      </c>
      <c r="G4" s="2">
        <v>7245871.0</v>
      </c>
      <c r="H4" s="2">
        <v>6916286.0</v>
      </c>
    </row>
    <row r="5">
      <c r="C5" s="1">
        <f t="shared" si="1"/>
        <v>3</v>
      </c>
      <c r="D5" s="2">
        <v>3.3901031E7</v>
      </c>
      <c r="E5" s="2">
        <v>1.683231E7</v>
      </c>
      <c r="F5" s="2">
        <v>7744979.0</v>
      </c>
      <c r="G5" s="2">
        <v>7184591.0</v>
      </c>
      <c r="H5" s="2">
        <v>7059521.0</v>
      </c>
    </row>
    <row r="6">
      <c r="C6" s="1">
        <f t="shared" si="1"/>
        <v>4</v>
      </c>
      <c r="D6" s="2">
        <v>3.3417338E7</v>
      </c>
      <c r="E6" s="2">
        <v>1.6740177E7</v>
      </c>
      <c r="F6" s="2">
        <v>7754278.0</v>
      </c>
      <c r="G6" s="2">
        <v>6960418.0</v>
      </c>
      <c r="H6" s="2">
        <v>6822064.0</v>
      </c>
    </row>
    <row r="7">
      <c r="C7" s="1">
        <f t="shared" si="1"/>
        <v>5</v>
      </c>
      <c r="D7" s="2">
        <v>3.3350335E7</v>
      </c>
      <c r="E7" s="2">
        <v>1.6559417E7</v>
      </c>
      <c r="F7" s="2">
        <v>7883168.0</v>
      </c>
      <c r="G7" s="2">
        <v>7301102.0</v>
      </c>
      <c r="H7" s="2">
        <v>7030936.0</v>
      </c>
    </row>
    <row r="8">
      <c r="C8" s="1">
        <f t="shared" si="1"/>
        <v>6</v>
      </c>
      <c r="D8" s="2">
        <v>3.3345067E7</v>
      </c>
      <c r="E8" s="2">
        <v>1.6524603E7</v>
      </c>
      <c r="F8" s="2">
        <v>8159495.0</v>
      </c>
      <c r="G8" s="2">
        <v>6938113.0</v>
      </c>
      <c r="H8" s="2">
        <v>7023164.0</v>
      </c>
    </row>
    <row r="9">
      <c r="C9" s="1">
        <f t="shared" si="1"/>
        <v>7</v>
      </c>
      <c r="D9" s="2">
        <v>3.3249487E7</v>
      </c>
      <c r="E9" s="2">
        <v>1.6653707E7</v>
      </c>
      <c r="F9" s="2">
        <v>8108165.0</v>
      </c>
      <c r="G9" s="2">
        <v>7349329.0</v>
      </c>
      <c r="H9" s="2">
        <v>7565943.0</v>
      </c>
    </row>
    <row r="10">
      <c r="C10" s="1">
        <f t="shared" si="1"/>
        <v>8</v>
      </c>
      <c r="D10" s="2">
        <v>3.3123257E7</v>
      </c>
      <c r="E10" s="2">
        <v>1.7593608E7</v>
      </c>
      <c r="F10" s="2">
        <v>7906181.0</v>
      </c>
      <c r="G10" s="2">
        <v>7292405.0</v>
      </c>
      <c r="H10" s="2">
        <v>6905753.0</v>
      </c>
    </row>
    <row r="11">
      <c r="C11" s="1">
        <f t="shared" si="1"/>
        <v>9</v>
      </c>
      <c r="D11" s="2">
        <v>3.4474382E7</v>
      </c>
      <c r="E11" s="2">
        <v>1.6214892E7</v>
      </c>
      <c r="F11" s="2">
        <v>7924405.0</v>
      </c>
      <c r="G11" s="2">
        <v>7265769.0</v>
      </c>
      <c r="H11" s="2">
        <v>7039974.0</v>
      </c>
    </row>
    <row r="12">
      <c r="C12" s="1">
        <f t="shared" si="1"/>
        <v>10</v>
      </c>
      <c r="D12" s="2">
        <v>3.3216442E7</v>
      </c>
      <c r="E12" s="2">
        <v>1.7009169E7</v>
      </c>
      <c r="F12" s="2">
        <v>8180350.0</v>
      </c>
      <c r="G12" s="2">
        <v>7425232.0</v>
      </c>
      <c r="H12" s="2">
        <v>6953804.0</v>
      </c>
    </row>
    <row r="13">
      <c r="C13" s="1">
        <f t="shared" si="1"/>
        <v>11</v>
      </c>
      <c r="D13" s="2">
        <v>3.3867029E7</v>
      </c>
      <c r="E13" s="2">
        <v>1.7021294E7</v>
      </c>
      <c r="F13" s="2">
        <v>7924460.0</v>
      </c>
      <c r="G13" s="2">
        <v>7439911.0</v>
      </c>
      <c r="H13" s="2">
        <v>7224754.0</v>
      </c>
    </row>
    <row r="14">
      <c r="C14" s="1">
        <f t="shared" si="1"/>
        <v>12</v>
      </c>
      <c r="D14" s="2">
        <v>3.3239252E7</v>
      </c>
      <c r="E14" s="2">
        <v>1.6596502E7</v>
      </c>
      <c r="F14" s="2">
        <v>7883133.0</v>
      </c>
      <c r="G14" s="2">
        <v>6937542.0</v>
      </c>
      <c r="H14" s="2">
        <v>7236762.0</v>
      </c>
    </row>
    <row r="15">
      <c r="C15" s="1">
        <f t="shared" si="1"/>
        <v>13</v>
      </c>
      <c r="D15" s="2">
        <v>3.3003881E7</v>
      </c>
      <c r="E15" s="2">
        <v>1.6540129E7</v>
      </c>
      <c r="F15" s="2">
        <v>7953396.0</v>
      </c>
      <c r="G15" s="2">
        <v>7098860.0</v>
      </c>
      <c r="H15" s="2">
        <v>6753572.0</v>
      </c>
    </row>
    <row r="16">
      <c r="C16" s="1">
        <f t="shared" si="1"/>
        <v>14</v>
      </c>
      <c r="D16" s="2">
        <v>3.3746061E7</v>
      </c>
      <c r="E16" s="2">
        <v>1.6464122E7</v>
      </c>
      <c r="F16" s="2">
        <v>7745130.0</v>
      </c>
      <c r="G16" s="2">
        <v>7042967.0</v>
      </c>
      <c r="H16" s="2">
        <v>7200851.0</v>
      </c>
    </row>
    <row r="17">
      <c r="C17" s="1">
        <f t="shared" si="1"/>
        <v>15</v>
      </c>
      <c r="D17" s="2">
        <v>3.3585965E7</v>
      </c>
      <c r="E17" s="2">
        <v>1.6474862E7</v>
      </c>
      <c r="F17" s="2">
        <v>7779665.0</v>
      </c>
      <c r="G17" s="2">
        <v>7024288.0</v>
      </c>
      <c r="H17" s="2">
        <v>6882569.0</v>
      </c>
    </row>
    <row r="18">
      <c r="C18" s="1">
        <f t="shared" si="1"/>
        <v>16</v>
      </c>
      <c r="D18" s="2">
        <v>3.3799121E7</v>
      </c>
      <c r="E18" s="2">
        <v>1.7328157E7</v>
      </c>
      <c r="F18" s="2">
        <v>7987627.0</v>
      </c>
      <c r="G18" s="2">
        <v>6906863.0</v>
      </c>
      <c r="H18" s="2">
        <v>6738695.0</v>
      </c>
    </row>
    <row r="19">
      <c r="C19" s="1">
        <f t="shared" si="1"/>
        <v>17</v>
      </c>
      <c r="D19" s="2">
        <v>3.3827462E7</v>
      </c>
      <c r="E19" s="2">
        <v>1.706813E7</v>
      </c>
      <c r="F19" s="2">
        <v>8090773.0</v>
      </c>
      <c r="G19" s="2">
        <v>7065408.0</v>
      </c>
      <c r="H19" s="2">
        <v>6865035.0</v>
      </c>
    </row>
    <row r="20">
      <c r="C20" s="1">
        <f t="shared" si="1"/>
        <v>18</v>
      </c>
      <c r="D20" s="2">
        <v>3.3768717E7</v>
      </c>
      <c r="E20" s="2">
        <v>1.6780769E7</v>
      </c>
      <c r="F20" s="2">
        <v>8171294.0</v>
      </c>
      <c r="G20" s="2">
        <v>7304922.0</v>
      </c>
      <c r="H20" s="2">
        <v>6953019.0</v>
      </c>
    </row>
    <row r="21">
      <c r="C21" s="1">
        <f t="shared" si="1"/>
        <v>19</v>
      </c>
      <c r="D21" s="2">
        <v>3.3185504E7</v>
      </c>
      <c r="E21" s="2">
        <v>1.6559152E7</v>
      </c>
      <c r="F21" s="2">
        <v>8249787.0</v>
      </c>
      <c r="G21" s="2">
        <v>6919861.0</v>
      </c>
      <c r="H21" s="2">
        <v>6844964.0</v>
      </c>
    </row>
    <row r="22">
      <c r="C22" s="1">
        <f t="shared" si="1"/>
        <v>20</v>
      </c>
      <c r="D22" s="2">
        <v>3.3360659E7</v>
      </c>
      <c r="E22" s="2">
        <v>1.6545661E7</v>
      </c>
      <c r="F22" s="2">
        <v>8185262.0</v>
      </c>
      <c r="G22" s="2">
        <v>7264453.0</v>
      </c>
      <c r="H22" s="2">
        <v>7025859.0</v>
      </c>
    </row>
    <row r="23">
      <c r="C23" s="1">
        <f t="shared" si="1"/>
        <v>21</v>
      </c>
      <c r="D23" s="2">
        <v>3.3469912E7</v>
      </c>
      <c r="E23" s="2">
        <v>1.6630347E7</v>
      </c>
      <c r="F23" s="2">
        <v>7881094.0</v>
      </c>
      <c r="G23" s="2">
        <v>6977711.0</v>
      </c>
      <c r="H23" s="2">
        <v>6923142.0</v>
      </c>
    </row>
    <row r="24">
      <c r="C24" s="1">
        <f t="shared" si="1"/>
        <v>22</v>
      </c>
      <c r="D24" s="2">
        <v>3.2679002E7</v>
      </c>
      <c r="E24" s="2">
        <v>1.6856177E7</v>
      </c>
      <c r="F24" s="2">
        <v>8020525.0</v>
      </c>
      <c r="G24" s="2">
        <v>7012593.0</v>
      </c>
      <c r="H24" s="2">
        <v>6935790.0</v>
      </c>
    </row>
    <row r="25">
      <c r="C25" s="1">
        <f t="shared" si="1"/>
        <v>23</v>
      </c>
      <c r="D25" s="2">
        <v>3.3300217E7</v>
      </c>
      <c r="E25" s="2">
        <v>1.7262151E7</v>
      </c>
      <c r="F25" s="2">
        <v>8214203.0</v>
      </c>
      <c r="G25" s="2">
        <v>6960858.0</v>
      </c>
      <c r="H25" s="2">
        <v>6919924.0</v>
      </c>
    </row>
    <row r="26">
      <c r="C26" s="1">
        <f t="shared" si="1"/>
        <v>24</v>
      </c>
      <c r="D26" s="2">
        <v>3.3555493E7</v>
      </c>
      <c r="E26" s="2">
        <v>1.6564684E7</v>
      </c>
      <c r="F26" s="2">
        <v>8023448.0</v>
      </c>
      <c r="G26" s="2">
        <v>6982664.0</v>
      </c>
      <c r="H26" s="2">
        <v>6717811.0</v>
      </c>
    </row>
    <row r="27">
      <c r="C27" s="1">
        <f t="shared" si="1"/>
        <v>25</v>
      </c>
      <c r="D27" s="2">
        <v>3.3463838E7</v>
      </c>
      <c r="E27" s="2">
        <v>1.6334661E7</v>
      </c>
      <c r="F27" s="2">
        <v>7977193.0</v>
      </c>
      <c r="G27" s="2">
        <v>6755695.0</v>
      </c>
      <c r="H27" s="2">
        <v>6855630.0</v>
      </c>
    </row>
    <row r="28">
      <c r="C28" s="1">
        <f t="shared" si="1"/>
        <v>26</v>
      </c>
      <c r="D28" s="2">
        <v>3.3325823E7</v>
      </c>
      <c r="E28" s="2">
        <v>1.6851401E7</v>
      </c>
      <c r="F28" s="2">
        <v>8054117.0</v>
      </c>
      <c r="G28" s="2">
        <v>7115447.0</v>
      </c>
      <c r="H28" s="2">
        <v>6824520.0</v>
      </c>
    </row>
    <row r="29">
      <c r="C29" s="1">
        <f t="shared" si="1"/>
        <v>27</v>
      </c>
      <c r="D29" s="2">
        <v>3.3219522E7</v>
      </c>
      <c r="E29" s="2">
        <v>1.6722051E7</v>
      </c>
      <c r="F29" s="2">
        <v>7943431.0</v>
      </c>
      <c r="G29" s="2">
        <v>6876195.0</v>
      </c>
      <c r="H29" s="2">
        <v>6724213.0</v>
      </c>
    </row>
    <row r="30">
      <c r="C30" s="1">
        <f t="shared" si="1"/>
        <v>28</v>
      </c>
      <c r="D30" s="2">
        <v>3.3301641E7</v>
      </c>
      <c r="E30" s="2">
        <v>1.6543218E7</v>
      </c>
      <c r="F30" s="2">
        <v>7953090.0</v>
      </c>
      <c r="G30" s="2">
        <v>6894160.0</v>
      </c>
      <c r="H30" s="2">
        <v>6676995.0</v>
      </c>
    </row>
    <row r="31">
      <c r="C31" s="1">
        <f t="shared" si="1"/>
        <v>29</v>
      </c>
      <c r="D31" s="2">
        <v>3.391796E7</v>
      </c>
      <c r="E31" s="2">
        <v>1.9392645E7</v>
      </c>
      <c r="F31" s="2">
        <v>7911931.0</v>
      </c>
      <c r="G31" s="2">
        <v>6988635.0</v>
      </c>
      <c r="H31" s="2">
        <v>7007038.0</v>
      </c>
    </row>
    <row r="32">
      <c r="C32" s="1">
        <f t="shared" si="1"/>
        <v>30</v>
      </c>
      <c r="D32" s="2">
        <v>3.3097632E7</v>
      </c>
      <c r="E32" s="2">
        <v>1.630757E7</v>
      </c>
      <c r="F32" s="2">
        <v>7865048.0</v>
      </c>
      <c r="G32" s="2">
        <v>7055730.0</v>
      </c>
      <c r="H32" s="2">
        <v>7014899.0</v>
      </c>
    </row>
    <row r="33">
      <c r="C33" s="2" t="s">
        <v>15</v>
      </c>
      <c r="D33" s="1">
        <f t="shared" ref="D33:H33" si="2">AVERAGE(D3:D32)</f>
        <v>33450255.2</v>
      </c>
      <c r="E33" s="1">
        <f t="shared" si="2"/>
        <v>16818085.03</v>
      </c>
      <c r="F33" s="1">
        <f t="shared" si="2"/>
        <v>8000840.8</v>
      </c>
      <c r="G33" s="1">
        <f t="shared" si="2"/>
        <v>7089996.9</v>
      </c>
      <c r="H33" s="1">
        <f t="shared" si="2"/>
        <v>6945856.433</v>
      </c>
    </row>
    <row r="34">
      <c r="C34" s="2" t="s">
        <v>16</v>
      </c>
      <c r="D34" s="1">
        <f t="shared" ref="D34:H34" si="3">STDEV(D3:D32)</f>
        <v>357609.9436</v>
      </c>
      <c r="E34" s="1">
        <f t="shared" si="3"/>
        <v>575155.0821</v>
      </c>
      <c r="F34" s="1">
        <f t="shared" si="3"/>
        <v>167987.4646</v>
      </c>
      <c r="G34" s="1">
        <f t="shared" si="3"/>
        <v>177762.835</v>
      </c>
      <c r="H34" s="1">
        <f t="shared" si="3"/>
        <v>187872.5623</v>
      </c>
    </row>
    <row r="38">
      <c r="A38" s="2" t="s">
        <v>17</v>
      </c>
      <c r="B38" s="2" t="s">
        <v>23</v>
      </c>
      <c r="C38" s="2" t="s">
        <v>9</v>
      </c>
    </row>
    <row r="39">
      <c r="A39" s="1">
        <f>STDEV(D3:D32)</f>
        <v>357609.9436</v>
      </c>
      <c r="B39" s="1">
        <f>AVERAGE(D3:D32)</f>
        <v>33450255.2</v>
      </c>
      <c r="C39" s="2">
        <v>1.0</v>
      </c>
    </row>
    <row r="40">
      <c r="A40" s="1">
        <f>STDEV(E3:E32)</f>
        <v>575155.0821</v>
      </c>
      <c r="B40" s="1">
        <f>AVERAGE(E3:E32)</f>
        <v>16818085.03</v>
      </c>
      <c r="C40" s="2">
        <v>2.0</v>
      </c>
    </row>
    <row r="41">
      <c r="A41" s="1">
        <f>STDEV(F3:F32)</f>
        <v>167987.4646</v>
      </c>
      <c r="B41" s="1">
        <f>AVERAGE(F3:F32)</f>
        <v>8000840.8</v>
      </c>
      <c r="C41" s="2">
        <v>4.0</v>
      </c>
    </row>
    <row r="42">
      <c r="A42" s="1">
        <f>STDEV(G3:G32)</f>
        <v>177762.835</v>
      </c>
      <c r="B42" s="1">
        <f>AVERAGE(G3:G32)</f>
        <v>7089996.9</v>
      </c>
      <c r="C42" s="2">
        <v>8.0</v>
      </c>
    </row>
    <row r="43">
      <c r="A43" s="1">
        <f>STDEV(H3:H32)</f>
        <v>187872.5623</v>
      </c>
      <c r="B43" s="1">
        <f>AVERAGE(H3:H32)</f>
        <v>6945856.433</v>
      </c>
      <c r="C43" s="2">
        <v>12.0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7.0"/>
    <col customWidth="1" min="3" max="3" width="25.75"/>
    <col customWidth="1" min="4" max="4" width="29.88"/>
    <col customWidth="1" min="5" max="5" width="27.88"/>
    <col customWidth="1" min="6" max="6" width="27.75"/>
    <col customWidth="1" min="7" max="7" width="28.13"/>
  </cols>
  <sheetData>
    <row r="2">
      <c r="B2" s="1"/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>
      <c r="B3" s="2">
        <v>1.0</v>
      </c>
      <c r="C3" s="2">
        <v>5.3353163E7</v>
      </c>
      <c r="D3" s="2">
        <v>2.7547816E7</v>
      </c>
      <c r="E3" s="2">
        <v>1.3507275E7</v>
      </c>
      <c r="F3" s="2">
        <v>1.1584641E7</v>
      </c>
      <c r="G3" s="2">
        <v>1.171376E7</v>
      </c>
    </row>
    <row r="4">
      <c r="B4" s="1">
        <f t="shared" ref="B4:B32" si="1">B3+1</f>
        <v>2</v>
      </c>
      <c r="C4" s="2">
        <v>5.3236946E7</v>
      </c>
      <c r="D4" s="2">
        <v>2.6775556E7</v>
      </c>
      <c r="E4" s="2">
        <v>1.3423768E7</v>
      </c>
      <c r="F4" s="2">
        <v>1.1633705E7</v>
      </c>
      <c r="G4" s="2">
        <v>1.168998E7</v>
      </c>
    </row>
    <row r="5">
      <c r="B5" s="1">
        <f t="shared" si="1"/>
        <v>3</v>
      </c>
      <c r="C5" s="2">
        <v>5.3699051E7</v>
      </c>
      <c r="D5" s="2">
        <v>2.6634957E7</v>
      </c>
      <c r="E5" s="2">
        <v>1.3472523E7</v>
      </c>
      <c r="F5" s="2">
        <v>1.1772734E7</v>
      </c>
      <c r="G5" s="2">
        <v>1.1731308E7</v>
      </c>
    </row>
    <row r="6">
      <c r="B6" s="1">
        <f t="shared" si="1"/>
        <v>4</v>
      </c>
      <c r="C6" s="2">
        <v>5.3381116E7</v>
      </c>
      <c r="D6" s="2">
        <v>2.7438373E7</v>
      </c>
      <c r="E6" s="2">
        <v>1.3701639E7</v>
      </c>
      <c r="F6" s="2">
        <v>1.1609769E7</v>
      </c>
      <c r="G6" s="2">
        <v>1.1773429E7</v>
      </c>
    </row>
    <row r="7">
      <c r="B7" s="1">
        <f t="shared" si="1"/>
        <v>5</v>
      </c>
      <c r="C7" s="2">
        <v>5.350763E7</v>
      </c>
      <c r="D7" s="2">
        <v>2.771226E7</v>
      </c>
      <c r="E7" s="2">
        <v>1.3449637E7</v>
      </c>
      <c r="F7" s="2">
        <v>1.156701E7</v>
      </c>
      <c r="G7" s="2">
        <v>1.1521388E7</v>
      </c>
    </row>
    <row r="8">
      <c r="B8" s="1">
        <f t="shared" si="1"/>
        <v>6</v>
      </c>
      <c r="C8" s="2">
        <v>5.3590152E7</v>
      </c>
      <c r="D8" s="2">
        <v>2.7242503E7</v>
      </c>
      <c r="E8" s="2">
        <v>1.3520271E7</v>
      </c>
      <c r="F8" s="2">
        <v>1.1845708E7</v>
      </c>
      <c r="G8" s="2">
        <v>1.1584765E7</v>
      </c>
    </row>
    <row r="9">
      <c r="B9" s="1">
        <f t="shared" si="1"/>
        <v>7</v>
      </c>
      <c r="C9" s="2">
        <v>5.3949914E7</v>
      </c>
      <c r="D9" s="2">
        <v>2.7216345E7</v>
      </c>
      <c r="E9" s="2">
        <v>1.3320333E7</v>
      </c>
      <c r="F9" s="2">
        <v>1.1575071E7</v>
      </c>
      <c r="G9" s="2">
        <v>1.1691267E7</v>
      </c>
    </row>
    <row r="10">
      <c r="B10" s="1">
        <f t="shared" si="1"/>
        <v>8</v>
      </c>
      <c r="C10" s="2">
        <v>5.3303955E7</v>
      </c>
      <c r="D10" s="2">
        <v>2.7092686E7</v>
      </c>
      <c r="E10" s="2">
        <v>1.35213E7</v>
      </c>
      <c r="F10" s="2">
        <v>1.1790702E7</v>
      </c>
      <c r="G10" s="2">
        <v>1.1824057E7</v>
      </c>
    </row>
    <row r="11">
      <c r="B11" s="1">
        <f t="shared" si="1"/>
        <v>9</v>
      </c>
      <c r="C11" s="2">
        <v>5.3340393E7</v>
      </c>
      <c r="D11" s="2">
        <v>2.7622597E7</v>
      </c>
      <c r="E11" s="2">
        <v>1.3381175E7</v>
      </c>
      <c r="F11" s="2">
        <v>1.139138E7</v>
      </c>
      <c r="G11" s="2">
        <v>1.1603068E7</v>
      </c>
    </row>
    <row r="12">
      <c r="B12" s="1">
        <f t="shared" si="1"/>
        <v>10</v>
      </c>
      <c r="C12" s="2">
        <v>5.2863751E7</v>
      </c>
      <c r="D12" s="2">
        <v>2.678186E7</v>
      </c>
      <c r="E12" s="2">
        <v>1.316695E7</v>
      </c>
      <c r="F12" s="2">
        <v>1.1404267E7</v>
      </c>
      <c r="G12" s="2">
        <v>1.160081E7</v>
      </c>
    </row>
    <row r="13">
      <c r="B13" s="1">
        <f t="shared" si="1"/>
        <v>11</v>
      </c>
      <c r="C13" s="2">
        <v>5.4039551E7</v>
      </c>
      <c r="D13" s="2">
        <v>2.6636636E7</v>
      </c>
      <c r="E13" s="2">
        <v>1.3194438E7</v>
      </c>
      <c r="F13" s="2">
        <v>1.2012038E7</v>
      </c>
      <c r="G13" s="2">
        <v>1.1371003E7</v>
      </c>
    </row>
    <row r="14">
      <c r="B14" s="1">
        <f t="shared" si="1"/>
        <v>12</v>
      </c>
      <c r="C14" s="2">
        <v>5.0485395E7</v>
      </c>
      <c r="D14" s="2">
        <v>2.7005138E7</v>
      </c>
      <c r="E14" s="2">
        <v>1.3359022E7</v>
      </c>
      <c r="F14" s="2">
        <v>1.1951596E7</v>
      </c>
      <c r="G14" s="2">
        <v>1.1952651E7</v>
      </c>
    </row>
    <row r="15">
      <c r="B15" s="1">
        <f t="shared" si="1"/>
        <v>13</v>
      </c>
      <c r="C15" s="2">
        <v>5.3354306E7</v>
      </c>
      <c r="D15" s="2">
        <v>2.7601329E7</v>
      </c>
      <c r="E15" s="2">
        <v>1.354646E7</v>
      </c>
      <c r="F15" s="2">
        <v>1.1393275E7</v>
      </c>
      <c r="G15" s="2">
        <v>1.1839146E7</v>
      </c>
    </row>
    <row r="16">
      <c r="B16" s="1">
        <f t="shared" si="1"/>
        <v>14</v>
      </c>
      <c r="C16" s="2">
        <v>5.2850467E7</v>
      </c>
      <c r="D16" s="2">
        <v>2.6720629E7</v>
      </c>
      <c r="E16" s="2">
        <v>1.3209614E7</v>
      </c>
      <c r="F16" s="2">
        <v>1.1608729E7</v>
      </c>
      <c r="G16" s="2">
        <v>1.1855855E7</v>
      </c>
    </row>
    <row r="17">
      <c r="B17" s="1">
        <f t="shared" si="1"/>
        <v>15</v>
      </c>
      <c r="C17" s="2">
        <v>5.267867E7</v>
      </c>
      <c r="D17" s="2">
        <v>2.7193185E7</v>
      </c>
      <c r="E17" s="2">
        <v>1.3221251E7</v>
      </c>
      <c r="F17" s="2">
        <v>1.181121E7</v>
      </c>
      <c r="G17" s="2">
        <v>1.173695E7</v>
      </c>
    </row>
    <row r="18">
      <c r="B18" s="1">
        <f t="shared" si="1"/>
        <v>16</v>
      </c>
      <c r="C18" s="2">
        <v>5.3593912E7</v>
      </c>
      <c r="D18" s="2">
        <v>2.7625191E7</v>
      </c>
      <c r="E18" s="2">
        <v>1.3471591E7</v>
      </c>
      <c r="F18" s="2">
        <v>1.1972608E7</v>
      </c>
      <c r="G18" s="2">
        <v>1.1873912E7</v>
      </c>
    </row>
    <row r="19">
      <c r="B19" s="1">
        <f t="shared" si="1"/>
        <v>17</v>
      </c>
      <c r="C19" s="2">
        <v>5.3620259E7</v>
      </c>
      <c r="D19" s="2">
        <v>2.6892456E7</v>
      </c>
      <c r="E19" s="2">
        <v>1.3843155E7</v>
      </c>
      <c r="F19" s="2">
        <v>1.1752887E7</v>
      </c>
      <c r="G19" s="2">
        <v>1.1491402E7</v>
      </c>
    </row>
    <row r="20">
      <c r="B20" s="1">
        <f t="shared" si="1"/>
        <v>18</v>
      </c>
      <c r="C20" s="2">
        <v>5.3308815E7</v>
      </c>
      <c r="D20" s="2">
        <v>2.7378906E7</v>
      </c>
      <c r="E20" s="2">
        <v>1.3524962E7</v>
      </c>
      <c r="F20" s="2">
        <v>1.1518658E7</v>
      </c>
      <c r="G20" s="2">
        <v>1.1839236E7</v>
      </c>
    </row>
    <row r="21">
      <c r="B21" s="1">
        <f t="shared" si="1"/>
        <v>19</v>
      </c>
      <c r="C21" s="2">
        <v>5.4385957E7</v>
      </c>
      <c r="D21" s="2">
        <v>2.8314954E7</v>
      </c>
      <c r="E21" s="2">
        <v>1.3353419E7</v>
      </c>
      <c r="F21" s="2">
        <v>1.1790995E7</v>
      </c>
      <c r="G21" s="2">
        <v>1.3083583E7</v>
      </c>
    </row>
    <row r="22">
      <c r="B22" s="1">
        <f t="shared" si="1"/>
        <v>20</v>
      </c>
      <c r="C22" s="2">
        <v>5.2228756E7</v>
      </c>
      <c r="D22" s="2">
        <v>2.7990111E7</v>
      </c>
      <c r="E22" s="2">
        <v>1.3585039E7</v>
      </c>
      <c r="F22" s="2">
        <v>1.1606456E7</v>
      </c>
      <c r="G22" s="2">
        <v>1.1308817E7</v>
      </c>
    </row>
    <row r="23">
      <c r="B23" s="1">
        <f t="shared" si="1"/>
        <v>21</v>
      </c>
      <c r="C23" s="2">
        <v>5.3870747E7</v>
      </c>
      <c r="D23" s="2">
        <v>2.7043233E7</v>
      </c>
      <c r="E23" s="2">
        <v>1.3793907E7</v>
      </c>
      <c r="F23" s="2">
        <v>1.160989E7</v>
      </c>
      <c r="G23" s="2">
        <v>1.1432361E7</v>
      </c>
    </row>
    <row r="24">
      <c r="B24" s="1">
        <f t="shared" si="1"/>
        <v>22</v>
      </c>
      <c r="C24" s="2">
        <v>5.4195739E7</v>
      </c>
      <c r="D24" s="2">
        <v>2.6917217E7</v>
      </c>
      <c r="E24" s="2">
        <v>1.3811441E7</v>
      </c>
      <c r="F24" s="2">
        <v>1.1599201E7</v>
      </c>
      <c r="G24" s="2">
        <v>1.1416932E7</v>
      </c>
    </row>
    <row r="25">
      <c r="B25" s="1">
        <f t="shared" si="1"/>
        <v>23</v>
      </c>
      <c r="C25" s="2">
        <v>5.3411643E7</v>
      </c>
      <c r="D25" s="2">
        <v>2.7365281E7</v>
      </c>
      <c r="E25" s="2">
        <v>1.3809088E7</v>
      </c>
      <c r="F25" s="2">
        <v>1.1595886E7</v>
      </c>
      <c r="G25" s="2">
        <v>1.1505009E7</v>
      </c>
    </row>
    <row r="26">
      <c r="B26" s="1">
        <f t="shared" si="1"/>
        <v>24</v>
      </c>
      <c r="C26" s="2">
        <v>5.3003957E7</v>
      </c>
      <c r="D26" s="2">
        <v>2.7668196E7</v>
      </c>
      <c r="E26" s="2">
        <v>1.4439449E7</v>
      </c>
      <c r="F26" s="2">
        <v>1.1532342E7</v>
      </c>
      <c r="G26" s="2">
        <v>1.1351851E7</v>
      </c>
    </row>
    <row r="27">
      <c r="B27" s="1">
        <f t="shared" si="1"/>
        <v>25</v>
      </c>
      <c r="C27" s="2">
        <v>5.3303144E7</v>
      </c>
      <c r="D27" s="2">
        <v>2.6820981E7</v>
      </c>
      <c r="E27" s="2">
        <v>1.4472131E7</v>
      </c>
      <c r="F27" s="2">
        <v>1.1540621E7</v>
      </c>
      <c r="G27" s="2">
        <v>1.15022E7</v>
      </c>
    </row>
    <row r="28">
      <c r="B28" s="1">
        <f t="shared" si="1"/>
        <v>26</v>
      </c>
      <c r="C28" s="2">
        <v>5.318713E7</v>
      </c>
      <c r="D28" s="2">
        <v>2.7652855E7</v>
      </c>
      <c r="E28" s="2">
        <v>1.3630419E7</v>
      </c>
      <c r="F28" s="2">
        <v>1.1679595E7</v>
      </c>
      <c r="G28" s="2">
        <v>1.1476087E7</v>
      </c>
    </row>
    <row r="29">
      <c r="B29" s="1">
        <f t="shared" si="1"/>
        <v>27</v>
      </c>
      <c r="C29" s="2">
        <v>5.3032813E7</v>
      </c>
      <c r="D29" s="2">
        <v>2.675632E7</v>
      </c>
      <c r="E29" s="2">
        <v>1.3389788E7</v>
      </c>
      <c r="F29" s="2">
        <v>1.2050621E7</v>
      </c>
      <c r="G29" s="2">
        <v>1.155081E7</v>
      </c>
    </row>
    <row r="30">
      <c r="B30" s="1">
        <f t="shared" si="1"/>
        <v>28</v>
      </c>
      <c r="C30" s="2">
        <v>5.3135696E7</v>
      </c>
      <c r="D30" s="2">
        <v>2.7237934E7</v>
      </c>
      <c r="E30" s="2">
        <v>1.3072063E7</v>
      </c>
      <c r="F30" s="2">
        <v>1.1733277E7</v>
      </c>
      <c r="G30" s="2">
        <v>1.1680404E7</v>
      </c>
    </row>
    <row r="31">
      <c r="B31" s="1">
        <f t="shared" si="1"/>
        <v>29</v>
      </c>
      <c r="C31" s="2">
        <v>5.3214859E7</v>
      </c>
      <c r="D31" s="2">
        <v>2.7209247E7</v>
      </c>
      <c r="E31" s="2">
        <v>1.3028775E7</v>
      </c>
      <c r="F31" s="2">
        <v>1.1612577E7</v>
      </c>
      <c r="G31" s="2">
        <v>1.1620874E7</v>
      </c>
    </row>
    <row r="32">
      <c r="B32" s="1">
        <f t="shared" si="1"/>
        <v>30</v>
      </c>
      <c r="C32" s="2">
        <v>5.2635536E7</v>
      </c>
      <c r="D32" s="2">
        <v>2.7980767E7</v>
      </c>
      <c r="E32" s="2">
        <v>1.3295611E7</v>
      </c>
      <c r="F32" s="2">
        <v>1.1672706E7</v>
      </c>
      <c r="G32" s="2">
        <v>1.1496966E7</v>
      </c>
    </row>
    <row r="33">
      <c r="B33" s="2" t="s">
        <v>15</v>
      </c>
      <c r="C33" s="1">
        <f t="shared" ref="C33:G33" si="2">AVERAGE(C3:C32)</f>
        <v>53258780.77</v>
      </c>
      <c r="D33" s="1">
        <f t="shared" si="2"/>
        <v>27269183.97</v>
      </c>
      <c r="E33" s="1">
        <f t="shared" si="2"/>
        <v>13517216.47</v>
      </c>
      <c r="F33" s="1">
        <f t="shared" si="2"/>
        <v>11674005.17</v>
      </c>
      <c r="G33" s="1">
        <f t="shared" si="2"/>
        <v>11670662.7</v>
      </c>
    </row>
    <row r="34">
      <c r="B34" s="2" t="s">
        <v>16</v>
      </c>
      <c r="C34" s="1">
        <f>STDEV(C3,C32)</f>
        <v>507438.9181</v>
      </c>
      <c r="D34" s="1">
        <f t="shared" ref="D34:G34" si="3">STDEV(D3:D32)</f>
        <v>439116.2332</v>
      </c>
      <c r="E34" s="1">
        <f t="shared" si="3"/>
        <v>332548.5169</v>
      </c>
      <c r="F34" s="1">
        <f t="shared" si="3"/>
        <v>173629.5924</v>
      </c>
      <c r="G34" s="1">
        <f t="shared" si="3"/>
        <v>316699.5061</v>
      </c>
    </row>
    <row r="38">
      <c r="A38" s="2" t="s">
        <v>17</v>
      </c>
      <c r="B38" s="2" t="s">
        <v>23</v>
      </c>
      <c r="C38" s="2" t="s">
        <v>9</v>
      </c>
    </row>
    <row r="39">
      <c r="A39" s="1">
        <f>STDEV(C3,C32)</f>
        <v>507438.9181</v>
      </c>
      <c r="B39" s="1">
        <f>AVERAGE(C3:C32)</f>
        <v>53258780.77</v>
      </c>
      <c r="C39" s="2">
        <v>1.0</v>
      </c>
    </row>
    <row r="40">
      <c r="A40" s="1">
        <f>STDEV(D3:D32)</f>
        <v>439116.2332</v>
      </c>
      <c r="B40" s="1">
        <f>AVERAGE(D3:D32)</f>
        <v>27269183.97</v>
      </c>
      <c r="C40" s="2">
        <v>2.0</v>
      </c>
    </row>
    <row r="41">
      <c r="A41" s="1">
        <f>STDEV(E3:E32)</f>
        <v>332548.5169</v>
      </c>
      <c r="B41" s="1">
        <f>AVERAGE(E3:E32)</f>
        <v>13517216.47</v>
      </c>
      <c r="C41" s="2">
        <v>4.0</v>
      </c>
    </row>
    <row r="42">
      <c r="A42" s="1">
        <f>STDEV(F3:F32)</f>
        <v>173629.5924</v>
      </c>
      <c r="B42" s="1">
        <f>AVERAGE(F3:F32)</f>
        <v>11674005.17</v>
      </c>
      <c r="C42" s="2">
        <v>8.0</v>
      </c>
    </row>
    <row r="43">
      <c r="A43" s="1">
        <f>STDEV(G3:G32)</f>
        <v>316699.5061</v>
      </c>
      <c r="B43" s="1">
        <f>AVERAGE(G3:G32)</f>
        <v>11670662.7</v>
      </c>
      <c r="C43" s="2">
        <v>12.0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88"/>
    <col customWidth="1" min="3" max="3" width="23.63"/>
    <col customWidth="1" min="4" max="5" width="25.0"/>
    <col customWidth="1" min="6" max="6" width="23.88"/>
    <col customWidth="1" min="7" max="7" width="24.63"/>
  </cols>
  <sheetData>
    <row r="1">
      <c r="B1" s="1"/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>
      <c r="B2" s="4">
        <v>1.0</v>
      </c>
      <c r="C2" s="2">
        <v>481986.0</v>
      </c>
      <c r="D2" s="2">
        <v>282660.0</v>
      </c>
      <c r="E2" s="2">
        <v>136487.0</v>
      </c>
      <c r="F2" s="2">
        <v>123319.0</v>
      </c>
      <c r="G2" s="2">
        <v>121214.0</v>
      </c>
    </row>
    <row r="3">
      <c r="B3" s="4">
        <f t="shared" ref="B3:B31" si="1">B2+1</f>
        <v>2</v>
      </c>
      <c r="C3" s="2">
        <v>493403.0</v>
      </c>
      <c r="D3" s="2">
        <v>231902.0</v>
      </c>
      <c r="E3" s="2">
        <v>125611.0</v>
      </c>
      <c r="F3" s="2">
        <v>123539.0</v>
      </c>
      <c r="G3" s="2">
        <v>123325.0</v>
      </c>
    </row>
    <row r="4">
      <c r="B4" s="4">
        <f t="shared" si="1"/>
        <v>3</v>
      </c>
      <c r="C4" s="2">
        <v>468044.0</v>
      </c>
      <c r="D4" s="2">
        <v>243440.0</v>
      </c>
      <c r="E4" s="2">
        <v>134282.0</v>
      </c>
      <c r="F4" s="2">
        <v>125113.0</v>
      </c>
      <c r="G4" s="2">
        <v>123612.0</v>
      </c>
    </row>
    <row r="5">
      <c r="B5" s="4">
        <f t="shared" si="1"/>
        <v>4</v>
      </c>
      <c r="C5" s="2">
        <v>491537.0</v>
      </c>
      <c r="D5" s="2">
        <v>241487.0</v>
      </c>
      <c r="E5" s="2">
        <v>123848.0</v>
      </c>
      <c r="F5" s="2">
        <v>127179.0</v>
      </c>
      <c r="G5" s="2">
        <v>115338.0</v>
      </c>
    </row>
    <row r="6">
      <c r="B6" s="4">
        <f t="shared" si="1"/>
        <v>5</v>
      </c>
      <c r="C6" s="2">
        <v>475607.0</v>
      </c>
      <c r="D6" s="2">
        <v>238929.0</v>
      </c>
      <c r="E6" s="2">
        <v>125057.0</v>
      </c>
      <c r="F6" s="2">
        <v>118937.0</v>
      </c>
      <c r="G6" s="2">
        <v>124865.0</v>
      </c>
    </row>
    <row r="7">
      <c r="B7" s="4">
        <f t="shared" si="1"/>
        <v>6</v>
      </c>
      <c r="C7" s="2">
        <v>463026.0</v>
      </c>
      <c r="D7" s="2">
        <v>252283.0</v>
      </c>
      <c r="E7" s="2">
        <v>119414.0</v>
      </c>
      <c r="F7" s="2">
        <v>121651.0</v>
      </c>
      <c r="G7" s="2">
        <v>119666.0</v>
      </c>
    </row>
    <row r="8">
      <c r="B8" s="4">
        <f t="shared" si="1"/>
        <v>7</v>
      </c>
      <c r="C8" s="2">
        <v>460725.0</v>
      </c>
      <c r="D8" s="2">
        <v>265389.0</v>
      </c>
      <c r="E8" s="2">
        <v>145283.0</v>
      </c>
      <c r="F8" s="2">
        <v>130111.0</v>
      </c>
      <c r="G8" s="2">
        <v>123306.0</v>
      </c>
    </row>
    <row r="9">
      <c r="B9" s="4">
        <f t="shared" si="1"/>
        <v>8</v>
      </c>
      <c r="C9" s="2">
        <v>481491.0</v>
      </c>
      <c r="D9" s="2">
        <v>250754.0</v>
      </c>
      <c r="E9" s="2">
        <v>137510.0</v>
      </c>
      <c r="F9" s="2">
        <v>121931.0</v>
      </c>
      <c r="G9" s="2">
        <v>120698.0</v>
      </c>
    </row>
    <row r="10">
      <c r="B10" s="4">
        <f t="shared" si="1"/>
        <v>9</v>
      </c>
      <c r="C10" s="2">
        <v>531014.0</v>
      </c>
      <c r="D10" s="2">
        <v>385142.0</v>
      </c>
      <c r="E10" s="2">
        <v>125533.0</v>
      </c>
      <c r="F10" s="2">
        <v>128689.0</v>
      </c>
      <c r="G10" s="2">
        <v>117126.0</v>
      </c>
    </row>
    <row r="11">
      <c r="B11" s="4">
        <f t="shared" si="1"/>
        <v>10</v>
      </c>
      <c r="C11" s="2">
        <v>504822.0</v>
      </c>
      <c r="D11" s="2">
        <v>275985.0</v>
      </c>
      <c r="E11" s="2">
        <v>128536.0</v>
      </c>
      <c r="F11" s="2">
        <v>122899.0</v>
      </c>
      <c r="G11" s="2">
        <v>122784.0</v>
      </c>
    </row>
    <row r="12">
      <c r="B12" s="4">
        <f t="shared" si="1"/>
        <v>11</v>
      </c>
      <c r="C12" s="2">
        <v>468380.0</v>
      </c>
      <c r="D12" s="2">
        <v>261935.0</v>
      </c>
      <c r="E12" s="2">
        <v>123598.0</v>
      </c>
      <c r="F12" s="2">
        <v>120148.0</v>
      </c>
      <c r="G12" s="2">
        <v>118117.0</v>
      </c>
    </row>
    <row r="13">
      <c r="B13" s="4">
        <f t="shared" si="1"/>
        <v>12</v>
      </c>
      <c r="C13" s="2">
        <v>477151.0</v>
      </c>
      <c r="D13" s="2">
        <v>254204.0</v>
      </c>
      <c r="E13" s="2">
        <v>128644.0</v>
      </c>
      <c r="F13" s="2">
        <v>115925.0</v>
      </c>
      <c r="G13" s="2">
        <v>116939.0</v>
      </c>
    </row>
    <row r="14">
      <c r="B14" s="4">
        <f t="shared" si="1"/>
        <v>13</v>
      </c>
      <c r="C14" s="2">
        <v>484738.0</v>
      </c>
      <c r="D14" s="2">
        <v>250074.0</v>
      </c>
      <c r="E14" s="2">
        <v>129914.0</v>
      </c>
      <c r="F14" s="2">
        <v>129462.0</v>
      </c>
      <c r="G14" s="2">
        <v>117489.0</v>
      </c>
    </row>
    <row r="15">
      <c r="B15" s="4">
        <f t="shared" si="1"/>
        <v>14</v>
      </c>
      <c r="C15" s="2">
        <v>491280.0</v>
      </c>
      <c r="D15" s="2">
        <v>239226.0</v>
      </c>
      <c r="E15" s="2">
        <v>124931.0</v>
      </c>
      <c r="F15" s="2">
        <v>122857.0</v>
      </c>
      <c r="G15" s="2">
        <v>121213.0</v>
      </c>
    </row>
    <row r="16">
      <c r="B16" s="4">
        <f t="shared" si="1"/>
        <v>15</v>
      </c>
      <c r="C16" s="2">
        <v>505307.0</v>
      </c>
      <c r="D16" s="2">
        <v>256097.0</v>
      </c>
      <c r="E16" s="2">
        <v>122676.0</v>
      </c>
      <c r="F16" s="2">
        <v>126539.0</v>
      </c>
      <c r="G16" s="2">
        <v>122482.0</v>
      </c>
    </row>
    <row r="17">
      <c r="B17" s="4">
        <f t="shared" si="1"/>
        <v>16</v>
      </c>
      <c r="C17" s="2">
        <v>484525.0</v>
      </c>
      <c r="D17" s="2">
        <v>234275.0</v>
      </c>
      <c r="E17" s="2">
        <v>129005.0</v>
      </c>
      <c r="F17" s="2">
        <v>119969.0</v>
      </c>
      <c r="G17" s="2">
        <v>122163.0</v>
      </c>
    </row>
    <row r="18">
      <c r="B18" s="4">
        <f t="shared" si="1"/>
        <v>17</v>
      </c>
      <c r="C18" s="2">
        <v>501226.0</v>
      </c>
      <c r="D18" s="2">
        <v>260100.0</v>
      </c>
      <c r="E18" s="2">
        <v>134011.0</v>
      </c>
      <c r="F18" s="2">
        <v>121088.0</v>
      </c>
      <c r="G18" s="2">
        <v>116835.0</v>
      </c>
    </row>
    <row r="19">
      <c r="B19" s="4">
        <f t="shared" si="1"/>
        <v>18</v>
      </c>
      <c r="C19" s="2">
        <v>506364.0</v>
      </c>
      <c r="D19" s="2">
        <v>240725.0</v>
      </c>
      <c r="E19" s="2">
        <v>127446.0</v>
      </c>
      <c r="F19" s="2">
        <v>120786.0</v>
      </c>
      <c r="G19" s="2">
        <v>121145.0</v>
      </c>
    </row>
    <row r="20">
      <c r="B20" s="4">
        <f t="shared" si="1"/>
        <v>19</v>
      </c>
      <c r="C20" s="2">
        <v>498441.0</v>
      </c>
      <c r="D20" s="2">
        <v>237612.0</v>
      </c>
      <c r="E20" s="2">
        <v>118807.0</v>
      </c>
      <c r="F20" s="2">
        <v>124276.0</v>
      </c>
      <c r="G20" s="2">
        <v>124110.0</v>
      </c>
    </row>
    <row r="21">
      <c r="B21" s="4">
        <f t="shared" si="1"/>
        <v>20</v>
      </c>
      <c r="C21" s="2">
        <v>479287.0</v>
      </c>
      <c r="D21" s="2">
        <v>237693.0</v>
      </c>
      <c r="E21" s="2">
        <v>117485.0</v>
      </c>
      <c r="F21" s="2">
        <v>119155.0</v>
      </c>
      <c r="G21" s="2">
        <v>121203.0</v>
      </c>
    </row>
    <row r="22">
      <c r="B22" s="4">
        <f t="shared" si="1"/>
        <v>21</v>
      </c>
      <c r="C22" s="2">
        <v>482796.0</v>
      </c>
      <c r="D22" s="2">
        <v>251680.0</v>
      </c>
      <c r="E22" s="2">
        <v>130253.0</v>
      </c>
      <c r="F22" s="2">
        <v>117988.0</v>
      </c>
      <c r="G22" s="2">
        <v>114513.0</v>
      </c>
    </row>
    <row r="23">
      <c r="B23" s="4">
        <f t="shared" si="1"/>
        <v>22</v>
      </c>
      <c r="C23" s="2">
        <v>470119.0</v>
      </c>
      <c r="D23" s="2">
        <v>245900.0</v>
      </c>
      <c r="E23" s="2">
        <v>130894.0</v>
      </c>
      <c r="F23" s="2">
        <v>124381.0</v>
      </c>
      <c r="G23" s="2">
        <v>121043.0</v>
      </c>
    </row>
    <row r="24">
      <c r="B24" s="4">
        <f t="shared" si="1"/>
        <v>23</v>
      </c>
      <c r="C24" s="2">
        <v>491405.0</v>
      </c>
      <c r="D24" s="2">
        <v>263662.0</v>
      </c>
      <c r="E24" s="2">
        <v>133761.0</v>
      </c>
      <c r="F24" s="2">
        <v>119138.0</v>
      </c>
      <c r="G24" s="2">
        <v>119047.0</v>
      </c>
    </row>
    <row r="25">
      <c r="B25" s="4">
        <f t="shared" si="1"/>
        <v>24</v>
      </c>
      <c r="C25" s="2">
        <v>516869.0</v>
      </c>
      <c r="D25" s="2">
        <v>245637.0</v>
      </c>
      <c r="E25" s="2">
        <v>126452.0</v>
      </c>
      <c r="F25" s="2">
        <v>116753.0</v>
      </c>
      <c r="G25" s="2">
        <v>122099.0</v>
      </c>
    </row>
    <row r="26">
      <c r="B26" s="4">
        <f t="shared" si="1"/>
        <v>25</v>
      </c>
      <c r="C26" s="2">
        <v>491757.0</v>
      </c>
      <c r="D26" s="2">
        <v>250989.0</v>
      </c>
      <c r="E26" s="2">
        <v>126077.0</v>
      </c>
      <c r="F26" s="2">
        <v>123190.0</v>
      </c>
      <c r="G26" s="2">
        <v>121686.0</v>
      </c>
    </row>
    <row r="27">
      <c r="B27" s="4">
        <f t="shared" si="1"/>
        <v>26</v>
      </c>
      <c r="C27" s="2">
        <v>486306.0</v>
      </c>
      <c r="D27" s="2">
        <v>235453.0</v>
      </c>
      <c r="E27" s="2">
        <v>123868.0</v>
      </c>
      <c r="F27" s="2">
        <v>126097.0</v>
      </c>
      <c r="G27" s="2">
        <v>120485.0</v>
      </c>
    </row>
    <row r="28">
      <c r="B28" s="4">
        <f t="shared" si="1"/>
        <v>27</v>
      </c>
      <c r="C28" s="2">
        <v>472280.0</v>
      </c>
      <c r="D28" s="2">
        <v>237950.0</v>
      </c>
      <c r="E28" s="2">
        <v>125498.0</v>
      </c>
      <c r="F28" s="2">
        <v>118471.0</v>
      </c>
      <c r="G28" s="2">
        <v>119391.0</v>
      </c>
    </row>
    <row r="29">
      <c r="B29" s="4">
        <f t="shared" si="1"/>
        <v>28</v>
      </c>
      <c r="C29" s="2">
        <v>551526.0</v>
      </c>
      <c r="D29" s="2">
        <v>243666.0</v>
      </c>
      <c r="E29" s="2">
        <v>136884.0</v>
      </c>
      <c r="F29" s="2">
        <v>118115.0</v>
      </c>
      <c r="G29" s="2">
        <v>116866.0</v>
      </c>
    </row>
    <row r="30">
      <c r="B30" s="4">
        <f t="shared" si="1"/>
        <v>29</v>
      </c>
      <c r="C30" s="2">
        <v>469301.0</v>
      </c>
      <c r="D30" s="2">
        <v>265452.0</v>
      </c>
      <c r="E30" s="2">
        <v>126188.0</v>
      </c>
      <c r="F30" s="2">
        <v>121289.0</v>
      </c>
      <c r="G30" s="2">
        <v>125362.0</v>
      </c>
    </row>
    <row r="31">
      <c r="B31" s="4">
        <f t="shared" si="1"/>
        <v>30</v>
      </c>
      <c r="C31" s="2">
        <v>473930.0</v>
      </c>
      <c r="D31" s="2">
        <v>249361.0</v>
      </c>
      <c r="E31" s="2">
        <v>120832.0</v>
      </c>
      <c r="F31" s="2">
        <v>122527.0</v>
      </c>
      <c r="G31" s="2">
        <v>116013.0</v>
      </c>
    </row>
    <row r="32">
      <c r="B32" s="2" t="s">
        <v>15</v>
      </c>
      <c r="C32" s="1">
        <f t="shared" ref="C32:G32" si="2">AVERAGE(C2:C31)</f>
        <v>488488.1</v>
      </c>
      <c r="D32" s="1">
        <f t="shared" si="2"/>
        <v>254322.0667</v>
      </c>
      <c r="E32" s="1">
        <f t="shared" si="2"/>
        <v>127959.5</v>
      </c>
      <c r="F32" s="1">
        <f t="shared" si="2"/>
        <v>122384.0667</v>
      </c>
      <c r="G32" s="1">
        <f t="shared" si="2"/>
        <v>120337.8333</v>
      </c>
    </row>
    <row r="33">
      <c r="B33" s="2" t="s">
        <v>16</v>
      </c>
      <c r="C33" s="1">
        <f t="shared" ref="C33:F33" si="3">STDEV(C2:C31)</f>
        <v>20118.24883</v>
      </c>
      <c r="D33" s="1">
        <f t="shared" si="3"/>
        <v>27648.70627</v>
      </c>
      <c r="E33" s="1">
        <f t="shared" si="3"/>
        <v>6202.580635</v>
      </c>
      <c r="F33" s="1">
        <f t="shared" si="3"/>
        <v>3705.17568</v>
      </c>
      <c r="G33" s="1">
        <f>STDEV(G2,G31)</f>
        <v>3677.662369</v>
      </c>
    </row>
    <row r="38">
      <c r="A38" s="2" t="s">
        <v>17</v>
      </c>
      <c r="B38" s="2" t="s">
        <v>23</v>
      </c>
      <c r="C38" s="2" t="s">
        <v>49</v>
      </c>
    </row>
    <row r="39">
      <c r="A39" s="1">
        <f>STDEV(C2:C31)</f>
        <v>20118.24883</v>
      </c>
      <c r="B39" s="1">
        <f>AVERAGE(C2:C31)</f>
        <v>488488.1</v>
      </c>
      <c r="C39" s="2">
        <v>1.0</v>
      </c>
    </row>
    <row r="40">
      <c r="A40" s="1">
        <f>STDEV(D2:D31)</f>
        <v>27648.70627</v>
      </c>
      <c r="B40" s="1">
        <f>AVERAGE(D2:D31)</f>
        <v>254322.0667</v>
      </c>
      <c r="C40" s="2">
        <v>2.0</v>
      </c>
    </row>
    <row r="41">
      <c r="A41" s="1">
        <f>STDEV(E2:E31)</f>
        <v>6202.580635</v>
      </c>
      <c r="B41" s="1">
        <f>AVERAGE(E2:E31)</f>
        <v>127959.5</v>
      </c>
      <c r="C41" s="2">
        <v>4.0</v>
      </c>
    </row>
    <row r="42">
      <c r="A42" s="1">
        <f>STDEV(F2:F31)</f>
        <v>3705.17568</v>
      </c>
      <c r="B42" s="1">
        <f>AVERAGE(F2:F31)</f>
        <v>122384.0667</v>
      </c>
      <c r="C42" s="2">
        <v>8.0</v>
      </c>
    </row>
    <row r="43">
      <c r="A43" s="1">
        <f>STDEV(G2,G31)</f>
        <v>3677.662369</v>
      </c>
      <c r="B43" s="1">
        <f>AVERAGE(G2:G31)</f>
        <v>120337.8333</v>
      </c>
      <c r="C43" s="2">
        <v>12.0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88"/>
    <col customWidth="1" min="3" max="3" width="26.0"/>
    <col customWidth="1" min="4" max="4" width="24.0"/>
    <col customWidth="1" min="5" max="5" width="23.5"/>
    <col customWidth="1" min="6" max="6" width="24.13"/>
    <col customWidth="1" min="7" max="7" width="25.13"/>
  </cols>
  <sheetData>
    <row r="2">
      <c r="B2" s="1"/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</row>
    <row r="3">
      <c r="B3" s="4">
        <v>1.0</v>
      </c>
      <c r="C3" s="2">
        <v>1333081.0</v>
      </c>
      <c r="D3" s="2">
        <v>750895.0</v>
      </c>
      <c r="E3" s="2">
        <v>387051.0</v>
      </c>
      <c r="F3" s="2">
        <v>365796.0</v>
      </c>
      <c r="G3" s="2">
        <v>330144.0</v>
      </c>
    </row>
    <row r="4">
      <c r="B4" s="4">
        <f t="shared" ref="B4:B32" si="1">B3+1</f>
        <v>2</v>
      </c>
      <c r="C4" s="2">
        <v>1433703.0</v>
      </c>
      <c r="D4" s="2">
        <v>694364.0</v>
      </c>
      <c r="E4" s="2">
        <v>347779.0</v>
      </c>
      <c r="F4" s="2">
        <v>324520.0</v>
      </c>
      <c r="G4" s="2">
        <v>333192.0</v>
      </c>
    </row>
    <row r="5">
      <c r="B5" s="4">
        <f t="shared" si="1"/>
        <v>3</v>
      </c>
      <c r="C5" s="2">
        <v>1701215.0</v>
      </c>
      <c r="D5" s="2">
        <v>747203.0</v>
      </c>
      <c r="E5" s="2">
        <v>343538.0</v>
      </c>
      <c r="F5" s="2">
        <v>330800.0</v>
      </c>
      <c r="G5" s="2">
        <v>336645.0</v>
      </c>
    </row>
    <row r="6">
      <c r="B6" s="4">
        <f t="shared" si="1"/>
        <v>4</v>
      </c>
      <c r="C6" s="2">
        <v>1511121.0</v>
      </c>
      <c r="D6" s="2">
        <v>684773.0</v>
      </c>
      <c r="E6" s="2">
        <v>333653.0</v>
      </c>
      <c r="F6" s="2">
        <v>349024.0</v>
      </c>
      <c r="G6" s="2">
        <v>340261.0</v>
      </c>
    </row>
    <row r="7">
      <c r="B7" s="4">
        <f t="shared" si="1"/>
        <v>5</v>
      </c>
      <c r="C7" s="2">
        <v>1603435.0</v>
      </c>
      <c r="D7" s="2">
        <v>715956.0</v>
      </c>
      <c r="E7" s="2">
        <v>327479.0</v>
      </c>
      <c r="F7" s="2">
        <v>327855.0</v>
      </c>
      <c r="G7" s="2">
        <v>331101.0</v>
      </c>
    </row>
    <row r="8">
      <c r="B8" s="4">
        <f t="shared" si="1"/>
        <v>6</v>
      </c>
      <c r="C8" s="2">
        <v>1571913.0</v>
      </c>
      <c r="D8" s="2">
        <v>745085.0</v>
      </c>
      <c r="E8" s="2">
        <v>322329.0</v>
      </c>
      <c r="F8" s="2">
        <v>319568.0</v>
      </c>
      <c r="G8" s="2">
        <v>328247.0</v>
      </c>
    </row>
    <row r="9">
      <c r="B9" s="4">
        <f t="shared" si="1"/>
        <v>7</v>
      </c>
      <c r="C9" s="2">
        <v>1559380.0</v>
      </c>
      <c r="D9" s="2">
        <v>719763.0</v>
      </c>
      <c r="E9" s="2">
        <v>327402.0</v>
      </c>
      <c r="F9" s="2">
        <v>336165.0</v>
      </c>
      <c r="G9" s="2">
        <v>332538.0</v>
      </c>
    </row>
    <row r="10">
      <c r="B10" s="4">
        <f t="shared" si="1"/>
        <v>8</v>
      </c>
      <c r="C10" s="2">
        <v>1579560.0</v>
      </c>
      <c r="D10" s="2">
        <v>738666.0</v>
      </c>
      <c r="E10" s="2">
        <v>336201.0</v>
      </c>
      <c r="F10" s="2">
        <v>343866.0</v>
      </c>
      <c r="G10" s="2">
        <v>325173.0</v>
      </c>
    </row>
    <row r="11">
      <c r="B11" s="4">
        <f t="shared" si="1"/>
        <v>9</v>
      </c>
      <c r="C11" s="2">
        <v>1476388.0</v>
      </c>
      <c r="D11" s="2">
        <v>845495.0</v>
      </c>
      <c r="E11" s="2">
        <v>326350.0</v>
      </c>
      <c r="F11" s="2">
        <v>334964.0</v>
      </c>
      <c r="G11" s="2">
        <v>330878.0</v>
      </c>
    </row>
    <row r="12">
      <c r="B12" s="4">
        <f t="shared" si="1"/>
        <v>10</v>
      </c>
      <c r="C12" s="2">
        <v>1372435.0</v>
      </c>
      <c r="D12" s="2">
        <v>757467.0</v>
      </c>
      <c r="E12" s="2">
        <v>336127.0</v>
      </c>
      <c r="F12" s="2">
        <v>321528.0</v>
      </c>
      <c r="G12" s="2">
        <v>330391.0</v>
      </c>
    </row>
    <row r="13">
      <c r="B13" s="4">
        <f t="shared" si="1"/>
        <v>11</v>
      </c>
      <c r="C13" s="2">
        <v>1397668.0</v>
      </c>
      <c r="D13" s="2">
        <v>723280.0</v>
      </c>
      <c r="E13" s="2">
        <v>324600.0</v>
      </c>
      <c r="F13" s="2">
        <v>343979.0</v>
      </c>
      <c r="G13" s="2">
        <v>327920.0</v>
      </c>
    </row>
    <row r="14">
      <c r="B14" s="4">
        <f t="shared" si="1"/>
        <v>12</v>
      </c>
      <c r="C14" s="2">
        <v>1544645.0</v>
      </c>
      <c r="D14" s="2">
        <v>770032.0</v>
      </c>
      <c r="E14" s="2">
        <v>367878.0</v>
      </c>
      <c r="F14" s="2">
        <v>328969.0</v>
      </c>
      <c r="G14" s="2">
        <v>324417.0</v>
      </c>
    </row>
    <row r="15">
      <c r="B15" s="4">
        <f t="shared" si="1"/>
        <v>13</v>
      </c>
      <c r="C15" s="2">
        <v>1412920.0</v>
      </c>
      <c r="D15" s="2">
        <v>740334.0</v>
      </c>
      <c r="E15" s="2">
        <v>344006.0</v>
      </c>
      <c r="F15" s="2">
        <v>316010.0</v>
      </c>
      <c r="G15" s="2">
        <v>329557.0</v>
      </c>
    </row>
    <row r="16">
      <c r="B16" s="4">
        <f t="shared" si="1"/>
        <v>14</v>
      </c>
      <c r="C16" s="2">
        <v>1703528.0</v>
      </c>
      <c r="D16" s="2">
        <v>871588.0</v>
      </c>
      <c r="E16" s="2">
        <v>334596.0</v>
      </c>
      <c r="F16" s="2">
        <v>320116.0</v>
      </c>
      <c r="G16" s="2">
        <v>326844.0</v>
      </c>
    </row>
    <row r="17">
      <c r="B17" s="4">
        <f t="shared" si="1"/>
        <v>15</v>
      </c>
      <c r="C17" s="2">
        <v>1692249.0</v>
      </c>
      <c r="D17" s="2">
        <v>879783.0</v>
      </c>
      <c r="E17" s="2">
        <v>345928.0</v>
      </c>
      <c r="F17" s="2">
        <v>321814.0</v>
      </c>
      <c r="G17" s="2">
        <v>327952.0</v>
      </c>
    </row>
    <row r="18">
      <c r="B18" s="4">
        <f t="shared" si="1"/>
        <v>16</v>
      </c>
      <c r="C18" s="2">
        <v>1324897.0</v>
      </c>
      <c r="D18" s="2">
        <v>782314.0</v>
      </c>
      <c r="E18" s="2">
        <v>341850.0</v>
      </c>
      <c r="F18" s="2">
        <v>373736.0</v>
      </c>
      <c r="G18" s="2">
        <v>327646.0</v>
      </c>
    </row>
    <row r="19">
      <c r="B19" s="4">
        <f t="shared" si="1"/>
        <v>17</v>
      </c>
      <c r="C19" s="2">
        <v>1537642.0</v>
      </c>
      <c r="D19" s="2">
        <v>810628.0</v>
      </c>
      <c r="E19" s="2">
        <v>330497.0</v>
      </c>
      <c r="F19" s="2">
        <v>339695.0</v>
      </c>
      <c r="G19" s="2">
        <v>323170.0</v>
      </c>
    </row>
    <row r="20">
      <c r="B20" s="4">
        <f t="shared" si="1"/>
        <v>18</v>
      </c>
      <c r="C20" s="2">
        <v>1406505.0</v>
      </c>
      <c r="D20" s="2">
        <v>734546.0</v>
      </c>
      <c r="E20" s="2">
        <v>347702.0</v>
      </c>
      <c r="F20" s="2">
        <v>328683.0</v>
      </c>
      <c r="G20" s="2">
        <v>324872.0</v>
      </c>
    </row>
    <row r="21">
      <c r="B21" s="4">
        <f t="shared" si="1"/>
        <v>19</v>
      </c>
      <c r="C21" s="2">
        <v>1623736.0</v>
      </c>
      <c r="D21" s="2">
        <v>709669.0</v>
      </c>
      <c r="E21" s="2">
        <v>347380.0</v>
      </c>
      <c r="F21" s="2">
        <v>351788.0</v>
      </c>
      <c r="G21" s="2">
        <v>340016.0</v>
      </c>
    </row>
    <row r="22">
      <c r="B22" s="4">
        <f t="shared" si="1"/>
        <v>20</v>
      </c>
      <c r="C22" s="2">
        <v>1449426.0</v>
      </c>
      <c r="D22" s="2">
        <v>732255.0</v>
      </c>
      <c r="E22" s="2">
        <v>356489.0</v>
      </c>
      <c r="F22" s="2">
        <v>326637.0</v>
      </c>
      <c r="G22" s="2">
        <v>319646.0</v>
      </c>
    </row>
    <row r="23">
      <c r="B23" s="4">
        <f t="shared" si="1"/>
        <v>21</v>
      </c>
      <c r="C23" s="2">
        <v>1467344.0</v>
      </c>
      <c r="D23" s="2">
        <v>767011.0</v>
      </c>
      <c r="E23" s="2">
        <v>333618.0</v>
      </c>
      <c r="F23" s="2">
        <v>336834.0</v>
      </c>
      <c r="G23" s="2">
        <v>326514.0</v>
      </c>
    </row>
    <row r="24">
      <c r="B24" s="4">
        <f t="shared" si="1"/>
        <v>22</v>
      </c>
      <c r="C24" s="2">
        <v>1533801.0</v>
      </c>
      <c r="D24" s="2">
        <v>694973.0</v>
      </c>
      <c r="E24" s="2">
        <v>326304.0</v>
      </c>
      <c r="F24" s="2">
        <v>341939.0</v>
      </c>
      <c r="G24" s="2">
        <v>322080.0</v>
      </c>
    </row>
    <row r="25">
      <c r="B25" s="4">
        <f t="shared" si="1"/>
        <v>23</v>
      </c>
      <c r="C25" s="2">
        <v>1415239.0</v>
      </c>
      <c r="D25" s="2">
        <v>728019.0</v>
      </c>
      <c r="E25" s="2">
        <v>346507.0</v>
      </c>
      <c r="F25" s="2">
        <v>325690.0</v>
      </c>
      <c r="G25" s="2">
        <v>320601.0</v>
      </c>
    </row>
    <row r="26">
      <c r="B26" s="4">
        <f t="shared" si="1"/>
        <v>24</v>
      </c>
      <c r="C26" s="2">
        <v>1594819.0</v>
      </c>
      <c r="D26" s="2">
        <v>905733.0</v>
      </c>
      <c r="E26" s="2">
        <v>333069.0</v>
      </c>
      <c r="F26" s="2">
        <v>328397.0</v>
      </c>
      <c r="G26" s="2">
        <v>325361.0</v>
      </c>
    </row>
    <row r="27">
      <c r="B27" s="4">
        <f t="shared" si="1"/>
        <v>25</v>
      </c>
      <c r="C27" s="2">
        <v>1425878.0</v>
      </c>
      <c r="D27" s="2">
        <v>726130.0</v>
      </c>
      <c r="E27" s="2">
        <v>330726.0</v>
      </c>
      <c r="F27" s="2">
        <v>321212.0</v>
      </c>
      <c r="G27" s="2">
        <v>318286.0</v>
      </c>
    </row>
    <row r="28">
      <c r="B28" s="4">
        <f t="shared" si="1"/>
        <v>26</v>
      </c>
      <c r="C28" s="2">
        <v>1544691.0</v>
      </c>
      <c r="D28" s="2">
        <v>754308.0</v>
      </c>
      <c r="E28" s="2">
        <v>324908.0</v>
      </c>
      <c r="F28" s="2">
        <v>325093.0</v>
      </c>
      <c r="G28" s="2">
        <v>329552.0</v>
      </c>
    </row>
    <row r="29">
      <c r="B29" s="4">
        <f t="shared" si="1"/>
        <v>27</v>
      </c>
      <c r="C29" s="2">
        <v>1449430.0</v>
      </c>
      <c r="D29" s="2">
        <v>944266.0</v>
      </c>
      <c r="E29" s="2">
        <v>325961.0</v>
      </c>
      <c r="F29" s="2">
        <v>342945.0</v>
      </c>
      <c r="G29" s="2">
        <v>336201.0</v>
      </c>
    </row>
    <row r="30">
      <c r="B30" s="4">
        <f t="shared" si="1"/>
        <v>28</v>
      </c>
      <c r="C30" s="2">
        <v>1657286.0</v>
      </c>
      <c r="D30" s="2">
        <v>760725.0</v>
      </c>
      <c r="E30" s="2">
        <v>331799.0</v>
      </c>
      <c r="F30" s="2">
        <v>334420.0</v>
      </c>
      <c r="G30" s="2">
        <v>325529.0</v>
      </c>
    </row>
    <row r="31">
      <c r="B31" s="4">
        <f t="shared" si="1"/>
        <v>29</v>
      </c>
      <c r="C31" s="2">
        <v>1372983.0</v>
      </c>
      <c r="D31" s="2">
        <v>671291.0</v>
      </c>
      <c r="E31" s="2">
        <v>328523.0</v>
      </c>
      <c r="F31" s="2">
        <v>323258.0</v>
      </c>
      <c r="G31" s="2">
        <v>340753.0</v>
      </c>
    </row>
    <row r="32">
      <c r="B32" s="4">
        <f t="shared" si="1"/>
        <v>30</v>
      </c>
      <c r="C32" s="2">
        <v>1543960.0</v>
      </c>
      <c r="D32" s="2">
        <v>724096.0</v>
      </c>
      <c r="E32" s="2">
        <v>326908.0</v>
      </c>
      <c r="F32" s="2">
        <v>323763.0</v>
      </c>
      <c r="G32" s="2">
        <v>341283.0</v>
      </c>
    </row>
    <row r="33">
      <c r="B33" s="2" t="s">
        <v>15</v>
      </c>
      <c r="C33" s="1">
        <f t="shared" ref="C33:G33" si="2">AVERAGE(C3:C32)</f>
        <v>1508029.267</v>
      </c>
      <c r="D33" s="1">
        <f t="shared" si="2"/>
        <v>761021.6</v>
      </c>
      <c r="E33" s="1">
        <f t="shared" si="2"/>
        <v>337905.2667</v>
      </c>
      <c r="F33" s="1">
        <f t="shared" si="2"/>
        <v>333635.4667</v>
      </c>
      <c r="G33" s="1">
        <f t="shared" si="2"/>
        <v>329225.6667</v>
      </c>
    </row>
    <row r="34">
      <c r="B34" s="2" t="s">
        <v>16</v>
      </c>
      <c r="C34" s="1">
        <f t="shared" ref="C34:G34" si="3">STDEV(C3:C32)</f>
        <v>108571.7598</v>
      </c>
      <c r="D34" s="1">
        <f t="shared" si="3"/>
        <v>66491.7543</v>
      </c>
      <c r="E34" s="1">
        <f t="shared" si="3"/>
        <v>14158.04041</v>
      </c>
      <c r="F34" s="1">
        <f t="shared" si="3"/>
        <v>13585.2445</v>
      </c>
      <c r="G34" s="1">
        <f t="shared" si="3"/>
        <v>6258.813479</v>
      </c>
    </row>
    <row r="37">
      <c r="A37" s="2" t="s">
        <v>6</v>
      </c>
      <c r="B37" s="2" t="s">
        <v>8</v>
      </c>
      <c r="C37" s="2" t="s">
        <v>49</v>
      </c>
      <c r="D37" s="3" t="s">
        <v>55</v>
      </c>
    </row>
    <row r="38">
      <c r="A38" s="1">
        <f>STDEV(C3:C32)</f>
        <v>108571.7598</v>
      </c>
      <c r="B38" s="1">
        <f>AVERAGE(C3:C32)</f>
        <v>1508029.267</v>
      </c>
      <c r="C38" s="2">
        <v>1.0</v>
      </c>
    </row>
    <row r="39">
      <c r="A39" s="1">
        <f>STDEV(D3:D32)</f>
        <v>66491.7543</v>
      </c>
      <c r="B39" s="1">
        <f>AVERAGE(D3:D32)</f>
        <v>761021.6</v>
      </c>
      <c r="C39" s="2">
        <v>2.0</v>
      </c>
    </row>
    <row r="40">
      <c r="A40" s="1">
        <f>STDEV(E3:E32)</f>
        <v>14158.04041</v>
      </c>
      <c r="B40" s="1">
        <f>AVERAGE(E3:E32)</f>
        <v>337905.2667</v>
      </c>
      <c r="C40" s="2">
        <v>4.0</v>
      </c>
    </row>
    <row r="41">
      <c r="A41" s="1">
        <f>STDEV(F3:F32)</f>
        <v>13585.2445</v>
      </c>
      <c r="B41" s="1">
        <f>AVERAGE(F3:F32)</f>
        <v>333635.4667</v>
      </c>
      <c r="C41" s="2">
        <v>8.0</v>
      </c>
    </row>
    <row r="42">
      <c r="A42" s="1">
        <f>STDEV(G3:G32)</f>
        <v>6258.813479</v>
      </c>
      <c r="B42" s="1">
        <f>AVERAGE(G3:G32)</f>
        <v>329225.6667</v>
      </c>
      <c r="C42" s="2">
        <v>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25"/>
    <col customWidth="1" min="3" max="3" width="24.25"/>
    <col customWidth="1" min="4" max="4" width="23.5"/>
    <col customWidth="1" min="5" max="5" width="22.88"/>
    <col customWidth="1" min="6" max="6" width="23.88"/>
    <col customWidth="1" min="7" max="7" width="24.0"/>
  </cols>
  <sheetData>
    <row r="2">
      <c r="B2" s="1"/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</row>
    <row r="3">
      <c r="B3" s="4">
        <v>1.0</v>
      </c>
      <c r="C3" s="2">
        <v>4491706.0</v>
      </c>
      <c r="D3" s="2">
        <v>2005416.0</v>
      </c>
      <c r="E3" s="2">
        <v>829196.0</v>
      </c>
      <c r="F3" s="2">
        <v>738507.0</v>
      </c>
      <c r="G3" s="2">
        <v>745864.0</v>
      </c>
    </row>
    <row r="4">
      <c r="B4" s="4">
        <f t="shared" ref="B4:B32" si="1">B3+1</f>
        <v>2</v>
      </c>
      <c r="C4" s="2">
        <v>4163869.0</v>
      </c>
      <c r="D4" s="2">
        <v>2072429.0</v>
      </c>
      <c r="E4" s="2">
        <v>830644.0</v>
      </c>
      <c r="F4" s="2">
        <v>755371.0</v>
      </c>
      <c r="G4" s="2">
        <v>761400.0</v>
      </c>
    </row>
    <row r="5">
      <c r="B5" s="4">
        <f t="shared" si="1"/>
        <v>3</v>
      </c>
      <c r="C5" s="2">
        <v>4590908.0</v>
      </c>
      <c r="D5" s="2">
        <v>2104154.0</v>
      </c>
      <c r="E5" s="2">
        <v>872080.0</v>
      </c>
      <c r="F5" s="2">
        <v>732838.0</v>
      </c>
      <c r="G5" s="2">
        <v>725425.0</v>
      </c>
    </row>
    <row r="6">
      <c r="B6" s="4">
        <f t="shared" si="1"/>
        <v>4</v>
      </c>
      <c r="C6" s="2">
        <v>4855988.0</v>
      </c>
      <c r="D6" s="2">
        <v>2148277.0</v>
      </c>
      <c r="E6" s="2">
        <v>865936.0</v>
      </c>
      <c r="F6" s="2">
        <v>751682.0</v>
      </c>
      <c r="G6" s="2">
        <v>745884.0</v>
      </c>
    </row>
    <row r="7">
      <c r="B7" s="4">
        <f t="shared" si="1"/>
        <v>5</v>
      </c>
      <c r="C7" s="2">
        <v>4707002.0</v>
      </c>
      <c r="D7" s="2">
        <v>2142579.0</v>
      </c>
      <c r="E7" s="2">
        <v>857440.0</v>
      </c>
      <c r="F7" s="2">
        <v>773660.0</v>
      </c>
      <c r="G7" s="2">
        <v>706106.0</v>
      </c>
    </row>
    <row r="8">
      <c r="B8" s="4">
        <f t="shared" si="1"/>
        <v>6</v>
      </c>
      <c r="C8" s="2">
        <v>4684923.0</v>
      </c>
      <c r="D8" s="2">
        <v>2076471.0</v>
      </c>
      <c r="E8" s="2">
        <v>808119.0</v>
      </c>
      <c r="F8" s="2">
        <v>785839.0</v>
      </c>
      <c r="G8" s="2">
        <v>726848.0</v>
      </c>
    </row>
    <row r="9">
      <c r="B9" s="4">
        <f t="shared" si="1"/>
        <v>7</v>
      </c>
      <c r="C9" s="2">
        <v>4378626.0</v>
      </c>
      <c r="D9" s="2">
        <v>1984211.0</v>
      </c>
      <c r="E9" s="2">
        <v>764037.0</v>
      </c>
      <c r="F9" s="2">
        <v>759187.0</v>
      </c>
      <c r="G9" s="2">
        <v>740630.0</v>
      </c>
    </row>
    <row r="10">
      <c r="B10" s="4">
        <f t="shared" si="1"/>
        <v>8</v>
      </c>
      <c r="C10" s="2">
        <v>4722365.0</v>
      </c>
      <c r="D10" s="2">
        <v>2326161.0</v>
      </c>
      <c r="E10" s="2">
        <v>918339.0</v>
      </c>
      <c r="F10" s="2">
        <v>714560.0</v>
      </c>
      <c r="G10" s="2">
        <v>705342.0</v>
      </c>
    </row>
    <row r="11">
      <c r="B11" s="4">
        <f t="shared" si="1"/>
        <v>9</v>
      </c>
      <c r="C11" s="2">
        <v>4594883.0</v>
      </c>
      <c r="D11" s="2">
        <v>2139269.0</v>
      </c>
      <c r="E11" s="2">
        <v>1017312.0</v>
      </c>
      <c r="F11" s="2">
        <v>743267.0</v>
      </c>
      <c r="G11" s="2">
        <v>738511.0</v>
      </c>
    </row>
    <row r="12">
      <c r="B12" s="4">
        <f t="shared" si="1"/>
        <v>10</v>
      </c>
      <c r="C12" s="2">
        <v>4473438.0</v>
      </c>
      <c r="D12" s="2">
        <v>2092759.0</v>
      </c>
      <c r="E12" s="2">
        <v>919643.0</v>
      </c>
      <c r="F12" s="2">
        <v>779215.0</v>
      </c>
      <c r="G12" s="2">
        <v>742589.0</v>
      </c>
    </row>
    <row r="13">
      <c r="B13" s="4">
        <f t="shared" si="1"/>
        <v>11</v>
      </c>
      <c r="C13" s="2">
        <v>4783203.0</v>
      </c>
      <c r="D13" s="2">
        <v>2127353.0</v>
      </c>
      <c r="E13" s="2">
        <v>972562.0</v>
      </c>
      <c r="F13" s="2">
        <v>769465.0</v>
      </c>
      <c r="G13" s="2">
        <v>751662.0</v>
      </c>
    </row>
    <row r="14">
      <c r="B14" s="4">
        <f t="shared" si="1"/>
        <v>12</v>
      </c>
      <c r="C14" s="2">
        <v>4668031.0</v>
      </c>
      <c r="D14" s="2">
        <v>2103153.0</v>
      </c>
      <c r="E14" s="2">
        <v>994013.0</v>
      </c>
      <c r="F14" s="2">
        <v>742748.0</v>
      </c>
      <c r="G14" s="2">
        <v>757505.0</v>
      </c>
    </row>
    <row r="15">
      <c r="B15" s="4">
        <f t="shared" si="1"/>
        <v>13</v>
      </c>
      <c r="C15" s="2">
        <v>4736172.0</v>
      </c>
      <c r="D15" s="2">
        <v>2298440.0</v>
      </c>
      <c r="E15" s="2">
        <v>863885.0</v>
      </c>
      <c r="F15" s="2">
        <v>864020.0</v>
      </c>
      <c r="G15" s="2">
        <v>752058.0</v>
      </c>
    </row>
    <row r="16">
      <c r="B16" s="4">
        <f t="shared" si="1"/>
        <v>14</v>
      </c>
      <c r="C16" s="2">
        <v>4320769.0</v>
      </c>
      <c r="D16" s="2">
        <v>2113569.0</v>
      </c>
      <c r="E16" s="2">
        <v>873533.0</v>
      </c>
      <c r="F16" s="2">
        <v>757881.0</v>
      </c>
      <c r="G16" s="2">
        <v>756990.0</v>
      </c>
    </row>
    <row r="17">
      <c r="B17" s="4">
        <f t="shared" si="1"/>
        <v>15</v>
      </c>
      <c r="C17" s="2">
        <v>4386593.0</v>
      </c>
      <c r="D17" s="2">
        <v>2166950.0</v>
      </c>
      <c r="E17" s="2">
        <v>819673.0</v>
      </c>
      <c r="F17" s="2">
        <v>805778.0</v>
      </c>
      <c r="G17" s="2">
        <v>748572.0</v>
      </c>
    </row>
    <row r="18">
      <c r="B18" s="4">
        <f t="shared" si="1"/>
        <v>16</v>
      </c>
      <c r="C18" s="2">
        <v>4461946.0</v>
      </c>
      <c r="D18" s="2">
        <v>2223967.0</v>
      </c>
      <c r="E18" s="2">
        <v>798774.0</v>
      </c>
      <c r="F18" s="2">
        <v>833151.0</v>
      </c>
      <c r="G18" s="2">
        <v>729664.0</v>
      </c>
    </row>
    <row r="19">
      <c r="B19" s="4">
        <f t="shared" si="1"/>
        <v>17</v>
      </c>
      <c r="C19" s="2">
        <v>4468206.0</v>
      </c>
      <c r="D19" s="2">
        <v>2181839.0</v>
      </c>
      <c r="E19" s="2">
        <v>770748.0</v>
      </c>
      <c r="F19" s="2">
        <v>747604.0</v>
      </c>
      <c r="G19" s="2">
        <v>734970.0</v>
      </c>
    </row>
    <row r="20">
      <c r="B20" s="4">
        <f t="shared" si="1"/>
        <v>18</v>
      </c>
      <c r="C20" s="2">
        <v>4379081.0</v>
      </c>
      <c r="D20" s="2">
        <v>2075261.0</v>
      </c>
      <c r="E20" s="2">
        <v>815642.0</v>
      </c>
      <c r="F20" s="2">
        <v>776295.0</v>
      </c>
      <c r="G20" s="2">
        <v>775300.0</v>
      </c>
    </row>
    <row r="21">
      <c r="B21" s="4">
        <f t="shared" si="1"/>
        <v>19</v>
      </c>
      <c r="C21" s="2">
        <v>4817281.0</v>
      </c>
      <c r="D21" s="2">
        <v>2173930.0</v>
      </c>
      <c r="E21" s="2">
        <v>791052.0</v>
      </c>
      <c r="F21" s="2">
        <v>726038.0</v>
      </c>
      <c r="G21" s="2">
        <v>764176.0</v>
      </c>
    </row>
    <row r="22">
      <c r="B22" s="4">
        <f t="shared" si="1"/>
        <v>20</v>
      </c>
      <c r="C22" s="2">
        <v>4129671.0</v>
      </c>
      <c r="D22" s="2">
        <v>2122597.0</v>
      </c>
      <c r="E22" s="2">
        <v>772147.0</v>
      </c>
      <c r="F22" s="2">
        <v>733122.0</v>
      </c>
      <c r="G22" s="2">
        <v>707539.0</v>
      </c>
    </row>
    <row r="23">
      <c r="B23" s="4">
        <f t="shared" si="1"/>
        <v>21</v>
      </c>
      <c r="C23" s="2">
        <v>4601324.0</v>
      </c>
      <c r="D23" s="2">
        <v>2163738.0</v>
      </c>
      <c r="E23" s="2">
        <v>846231.0</v>
      </c>
      <c r="F23" s="2">
        <v>767266.0</v>
      </c>
      <c r="G23" s="2">
        <v>747453.0</v>
      </c>
    </row>
    <row r="24">
      <c r="B24" s="4">
        <f t="shared" si="1"/>
        <v>22</v>
      </c>
      <c r="C24" s="2">
        <v>4333263.0</v>
      </c>
      <c r="D24" s="2">
        <v>2145023.0</v>
      </c>
      <c r="E24" s="2">
        <v>873356.0</v>
      </c>
      <c r="F24" s="2">
        <v>726976.0</v>
      </c>
      <c r="G24" s="2">
        <v>765301.0</v>
      </c>
    </row>
    <row r="25">
      <c r="B25" s="4">
        <f t="shared" si="1"/>
        <v>23</v>
      </c>
      <c r="C25" s="2">
        <v>4285124.0</v>
      </c>
      <c r="D25" s="2">
        <v>2047494.0</v>
      </c>
      <c r="E25" s="2">
        <v>945829.0</v>
      </c>
      <c r="F25" s="2">
        <v>736762.0</v>
      </c>
      <c r="G25" s="2">
        <v>714952.0</v>
      </c>
    </row>
    <row r="26">
      <c r="B26" s="4">
        <f t="shared" si="1"/>
        <v>24</v>
      </c>
      <c r="C26" s="2">
        <v>4447862.0</v>
      </c>
      <c r="D26" s="2">
        <v>2174561.0</v>
      </c>
      <c r="E26" s="2">
        <v>845625.0</v>
      </c>
      <c r="F26" s="2">
        <v>769434.0</v>
      </c>
      <c r="G26" s="2">
        <v>723355.0</v>
      </c>
    </row>
    <row r="27">
      <c r="B27" s="4">
        <f t="shared" si="1"/>
        <v>25</v>
      </c>
      <c r="C27" s="2">
        <v>4698942.0</v>
      </c>
      <c r="D27" s="2">
        <v>2099448.0</v>
      </c>
      <c r="E27" s="2">
        <v>911683.0</v>
      </c>
      <c r="F27" s="2">
        <v>756520.0</v>
      </c>
      <c r="G27" s="2">
        <v>747107.0</v>
      </c>
    </row>
    <row r="28">
      <c r="B28" s="4">
        <f t="shared" si="1"/>
        <v>26</v>
      </c>
      <c r="C28" s="2">
        <v>4272121.0</v>
      </c>
      <c r="D28" s="2">
        <v>2232480.0</v>
      </c>
      <c r="E28" s="2">
        <v>1001576.0</v>
      </c>
      <c r="F28" s="2">
        <v>777468.0</v>
      </c>
      <c r="G28" s="2">
        <v>763200.0</v>
      </c>
    </row>
    <row r="29">
      <c r="B29" s="4">
        <f t="shared" si="1"/>
        <v>27</v>
      </c>
      <c r="C29" s="2">
        <v>4675687.0</v>
      </c>
      <c r="D29" s="2">
        <v>2144099.0</v>
      </c>
      <c r="E29" s="2">
        <v>879161.0</v>
      </c>
      <c r="F29" s="2">
        <v>764309.0</v>
      </c>
      <c r="G29" s="2">
        <v>748057.0</v>
      </c>
    </row>
    <row r="30">
      <c r="B30" s="4">
        <f t="shared" si="1"/>
        <v>28</v>
      </c>
      <c r="C30" s="2">
        <v>4348040.0</v>
      </c>
      <c r="D30" s="2">
        <v>1993353.0</v>
      </c>
      <c r="E30" s="2">
        <v>792028.0</v>
      </c>
      <c r="F30" s="2">
        <v>751766.0</v>
      </c>
      <c r="G30" s="2">
        <v>755664.0</v>
      </c>
    </row>
    <row r="31">
      <c r="B31" s="4">
        <f t="shared" si="1"/>
        <v>29</v>
      </c>
      <c r="C31" s="2">
        <v>4597829.0</v>
      </c>
      <c r="D31" s="2">
        <v>2049254.0</v>
      </c>
      <c r="E31" s="2">
        <v>813700.0</v>
      </c>
      <c r="F31" s="2">
        <v>769632.0</v>
      </c>
      <c r="G31" s="2">
        <v>735967.0</v>
      </c>
    </row>
    <row r="32">
      <c r="B32" s="4">
        <f t="shared" si="1"/>
        <v>30</v>
      </c>
      <c r="C32" s="2">
        <v>4379137.0</v>
      </c>
      <c r="D32" s="2">
        <v>2205724.0</v>
      </c>
      <c r="E32" s="2">
        <v>786247.0</v>
      </c>
      <c r="F32" s="2">
        <v>739474.0</v>
      </c>
      <c r="G32" s="2">
        <v>748773.0</v>
      </c>
    </row>
    <row r="33">
      <c r="B33" s="2" t="s">
        <v>15</v>
      </c>
      <c r="C33" s="1">
        <f t="shared" ref="C33:G33" si="2">AVERAGE(C3:C32)</f>
        <v>4515133</v>
      </c>
      <c r="D33" s="1">
        <f t="shared" si="2"/>
        <v>2131131.967</v>
      </c>
      <c r="E33" s="1">
        <f t="shared" si="2"/>
        <v>861673.7</v>
      </c>
      <c r="F33" s="1">
        <f t="shared" si="2"/>
        <v>761661.1667</v>
      </c>
      <c r="G33" s="1">
        <f t="shared" si="2"/>
        <v>742228.8</v>
      </c>
    </row>
    <row r="34">
      <c r="B34" s="2" t="s">
        <v>16</v>
      </c>
      <c r="C34" s="1">
        <f>STDEV(C3,C32)</f>
        <v>79598.30325</v>
      </c>
      <c r="D34" s="1">
        <f t="shared" ref="D34:G34" si="3">STDEV(D3:D32)</f>
        <v>79650.09979</v>
      </c>
      <c r="E34" s="1">
        <f t="shared" si="3"/>
        <v>71283.22857</v>
      </c>
      <c r="F34" s="1">
        <f t="shared" si="3"/>
        <v>31305.03323</v>
      </c>
      <c r="G34" s="1">
        <f t="shared" si="3"/>
        <v>18271.35303</v>
      </c>
    </row>
    <row r="36">
      <c r="A36" s="2" t="s">
        <v>17</v>
      </c>
      <c r="B36" s="2" t="s">
        <v>61</v>
      </c>
      <c r="C36" s="2" t="s">
        <v>49</v>
      </c>
    </row>
    <row r="37">
      <c r="A37" s="1">
        <f>STDEV(C3,C32)</f>
        <v>79598.30325</v>
      </c>
      <c r="B37" s="1">
        <f>AVERAGE(C3:C32)</f>
        <v>4515133</v>
      </c>
      <c r="C37" s="2">
        <v>1.0</v>
      </c>
    </row>
    <row r="38">
      <c r="A38" s="1">
        <f>STDEV(D3:D32)</f>
        <v>79650.09979</v>
      </c>
      <c r="B38" s="2">
        <f>AVERAGE(D3:D32)</f>
        <v>2131131.967</v>
      </c>
      <c r="C38" s="2">
        <v>2.0</v>
      </c>
    </row>
    <row r="39">
      <c r="A39" s="1">
        <f>STDEV(E3:E32)</f>
        <v>71283.22857</v>
      </c>
      <c r="B39" s="1">
        <f>AVERAGE(E3:E32)</f>
        <v>861673.7</v>
      </c>
      <c r="C39" s="2">
        <v>4.0</v>
      </c>
    </row>
    <row r="40">
      <c r="A40" s="1">
        <f>STDEV(F3:F32)</f>
        <v>31305.03323</v>
      </c>
      <c r="B40" s="1">
        <f>AVERAGE(F3:F32)</f>
        <v>761661.1667</v>
      </c>
      <c r="C40" s="2">
        <v>8.0</v>
      </c>
    </row>
    <row r="41">
      <c r="A41" s="1">
        <f>STDEV(G3:G32)</f>
        <v>18271.35303</v>
      </c>
      <c r="B41" s="1">
        <f>AVERAGE(G3:G32)</f>
        <v>742228.8</v>
      </c>
      <c r="C41" s="2">
        <v>12.0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25.25"/>
    <col customWidth="1" min="4" max="4" width="24.5"/>
    <col customWidth="1" min="5" max="5" width="24.13"/>
    <col customWidth="1" min="6" max="6" width="24.25"/>
    <col customWidth="1" min="7" max="7" width="23.75"/>
  </cols>
  <sheetData>
    <row r="2">
      <c r="B2" s="1"/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>
      <c r="B3" s="4">
        <v>1.0</v>
      </c>
      <c r="C3" s="2">
        <v>1.0294006E7</v>
      </c>
      <c r="D3" s="2">
        <v>5233149.0</v>
      </c>
      <c r="E3" s="2">
        <v>2642314.0</v>
      </c>
      <c r="F3" s="2">
        <v>2206188.0</v>
      </c>
      <c r="G3" s="2">
        <v>2085093.0</v>
      </c>
    </row>
    <row r="4">
      <c r="B4" s="4">
        <f t="shared" ref="B4:B32" si="1">B3+1</f>
        <v>2</v>
      </c>
      <c r="C4" s="2">
        <v>1.0290725E7</v>
      </c>
      <c r="D4" s="2">
        <v>5207964.0</v>
      </c>
      <c r="E4" s="2">
        <v>2436484.0</v>
      </c>
      <c r="F4" s="2">
        <v>2094770.0</v>
      </c>
      <c r="G4" s="2">
        <v>2060790.0</v>
      </c>
    </row>
    <row r="5">
      <c r="B5" s="4">
        <f t="shared" si="1"/>
        <v>3</v>
      </c>
      <c r="C5" s="2">
        <v>1.0460172E7</v>
      </c>
      <c r="D5" s="2">
        <v>5444065.0</v>
      </c>
      <c r="E5" s="2">
        <v>2488251.0</v>
      </c>
      <c r="F5" s="2">
        <v>2048328.0</v>
      </c>
      <c r="G5" s="2">
        <v>2090160.0</v>
      </c>
    </row>
    <row r="6">
      <c r="B6" s="4">
        <f t="shared" si="1"/>
        <v>4</v>
      </c>
      <c r="C6" s="2">
        <v>1.0400131E7</v>
      </c>
      <c r="D6" s="2">
        <v>5107833.0</v>
      </c>
      <c r="E6" s="2">
        <v>2339729.0</v>
      </c>
      <c r="F6" s="2">
        <v>2134023.0</v>
      </c>
      <c r="G6" s="2">
        <v>2022615.0</v>
      </c>
    </row>
    <row r="7">
      <c r="B7" s="4">
        <f t="shared" si="1"/>
        <v>5</v>
      </c>
      <c r="C7" s="2">
        <v>1.0677048E7</v>
      </c>
      <c r="D7" s="2">
        <v>5073007.0</v>
      </c>
      <c r="E7" s="2">
        <v>2485476.0</v>
      </c>
      <c r="F7" s="2">
        <v>2206887.0</v>
      </c>
      <c r="G7" s="2">
        <v>2126297.0</v>
      </c>
    </row>
    <row r="8">
      <c r="B8" s="4">
        <f t="shared" si="1"/>
        <v>6</v>
      </c>
      <c r="C8" s="2">
        <v>1.0379821E7</v>
      </c>
      <c r="D8" s="2">
        <v>5457029.0</v>
      </c>
      <c r="E8" s="2">
        <v>2472893.0</v>
      </c>
      <c r="F8" s="2">
        <v>2206466.0</v>
      </c>
      <c r="G8" s="2">
        <v>2167638.0</v>
      </c>
    </row>
    <row r="9">
      <c r="B9" s="4">
        <f t="shared" si="1"/>
        <v>7</v>
      </c>
      <c r="C9" s="2">
        <v>1.0690896E7</v>
      </c>
      <c r="D9" s="2">
        <v>5025013.0</v>
      </c>
      <c r="E9" s="2">
        <v>2435837.0</v>
      </c>
      <c r="F9" s="2">
        <v>2335557.0</v>
      </c>
      <c r="G9" s="2">
        <v>2116705.0</v>
      </c>
    </row>
    <row r="10">
      <c r="B10" s="4">
        <f t="shared" si="1"/>
        <v>8</v>
      </c>
      <c r="C10" s="2">
        <v>1.039902E7</v>
      </c>
      <c r="D10" s="2">
        <v>4932029.0</v>
      </c>
      <c r="E10" s="2">
        <v>2376210.0</v>
      </c>
      <c r="F10" s="2">
        <v>2261254.0</v>
      </c>
      <c r="G10" s="2">
        <v>2104004.0</v>
      </c>
    </row>
    <row r="11">
      <c r="B11" s="4">
        <f t="shared" si="1"/>
        <v>9</v>
      </c>
      <c r="C11" s="2">
        <v>1.0809116E7</v>
      </c>
      <c r="D11" s="2">
        <v>4999970.0</v>
      </c>
      <c r="E11" s="2">
        <v>2319035.0</v>
      </c>
      <c r="F11" s="2">
        <v>2177564.0</v>
      </c>
      <c r="G11" s="2">
        <v>2047735.0</v>
      </c>
    </row>
    <row r="12">
      <c r="B12" s="4">
        <f t="shared" si="1"/>
        <v>10</v>
      </c>
      <c r="C12" s="2">
        <v>1.0324261E7</v>
      </c>
      <c r="D12" s="2">
        <v>4983583.0</v>
      </c>
      <c r="E12" s="2">
        <v>2350998.0</v>
      </c>
      <c r="F12" s="2">
        <v>2185862.0</v>
      </c>
      <c r="G12" s="2">
        <v>2043021.0</v>
      </c>
    </row>
    <row r="13">
      <c r="B13" s="4">
        <f t="shared" si="1"/>
        <v>11</v>
      </c>
      <c r="C13" s="2">
        <v>1.0793968E7</v>
      </c>
      <c r="D13" s="2">
        <v>5073640.0</v>
      </c>
      <c r="E13" s="2">
        <v>2429913.0</v>
      </c>
      <c r="F13" s="2">
        <v>2166108.0</v>
      </c>
      <c r="G13" s="2">
        <v>2018751.0</v>
      </c>
    </row>
    <row r="14">
      <c r="B14" s="4">
        <f t="shared" si="1"/>
        <v>12</v>
      </c>
      <c r="C14" s="2">
        <v>1.0302713E7</v>
      </c>
      <c r="D14" s="2">
        <v>5067907.0</v>
      </c>
      <c r="E14" s="2">
        <v>2534196.0</v>
      </c>
      <c r="F14" s="2">
        <v>2141765.0</v>
      </c>
      <c r="G14" s="2">
        <v>2102775.0</v>
      </c>
    </row>
    <row r="15">
      <c r="B15" s="4">
        <f t="shared" si="1"/>
        <v>13</v>
      </c>
      <c r="C15" s="2">
        <v>1.040774E7</v>
      </c>
      <c r="D15" s="2">
        <v>4999333.0</v>
      </c>
      <c r="E15" s="2">
        <v>2457311.0</v>
      </c>
      <c r="F15" s="2">
        <v>2123026.0</v>
      </c>
      <c r="G15" s="2">
        <v>2171141.0</v>
      </c>
    </row>
    <row r="16">
      <c r="B16" s="4">
        <f t="shared" si="1"/>
        <v>14</v>
      </c>
      <c r="C16" s="2">
        <v>1.1034886E7</v>
      </c>
      <c r="D16" s="2">
        <v>5165915.0</v>
      </c>
      <c r="E16" s="2">
        <v>2493750.0</v>
      </c>
      <c r="F16" s="2">
        <v>2064283.0</v>
      </c>
      <c r="G16" s="2">
        <v>2087802.0</v>
      </c>
    </row>
    <row r="17">
      <c r="B17" s="4">
        <f t="shared" si="1"/>
        <v>15</v>
      </c>
      <c r="C17" s="2">
        <v>1.0420065E7</v>
      </c>
      <c r="D17" s="2">
        <v>5139956.0</v>
      </c>
      <c r="E17" s="2">
        <v>2385587.0</v>
      </c>
      <c r="F17" s="2">
        <v>2208630.0</v>
      </c>
      <c r="G17" s="2">
        <v>2099636.0</v>
      </c>
    </row>
    <row r="18">
      <c r="B18" s="4">
        <f t="shared" si="1"/>
        <v>16</v>
      </c>
      <c r="C18" s="2">
        <v>1.0574719E7</v>
      </c>
      <c r="D18" s="2">
        <v>5123274.0</v>
      </c>
      <c r="E18" s="2">
        <v>2365821.0</v>
      </c>
      <c r="F18" s="2">
        <v>2327717.0</v>
      </c>
      <c r="G18" s="2">
        <v>2137084.0</v>
      </c>
    </row>
    <row r="19">
      <c r="B19" s="4">
        <f t="shared" si="1"/>
        <v>17</v>
      </c>
      <c r="C19" s="2">
        <v>1.0977781E7</v>
      </c>
      <c r="D19" s="2">
        <v>5089376.0</v>
      </c>
      <c r="E19" s="2">
        <v>2402160.0</v>
      </c>
      <c r="F19" s="2">
        <v>2220791.0</v>
      </c>
      <c r="G19" s="2">
        <v>2634970.0</v>
      </c>
    </row>
    <row r="20">
      <c r="B20" s="4">
        <f t="shared" si="1"/>
        <v>18</v>
      </c>
      <c r="C20" s="2">
        <v>1.082547E7</v>
      </c>
      <c r="D20" s="2">
        <v>5135798.0</v>
      </c>
      <c r="E20" s="2">
        <v>2571834.0</v>
      </c>
      <c r="F20" s="2">
        <v>2108113.0</v>
      </c>
      <c r="G20" s="2">
        <v>2092068.0</v>
      </c>
    </row>
    <row r="21">
      <c r="B21" s="4">
        <f t="shared" si="1"/>
        <v>19</v>
      </c>
      <c r="C21" s="2">
        <v>1.0648485E7</v>
      </c>
      <c r="D21" s="2">
        <v>5031147.0</v>
      </c>
      <c r="E21" s="2">
        <v>2418954.0</v>
      </c>
      <c r="F21" s="2">
        <v>2114991.0</v>
      </c>
      <c r="G21" s="2">
        <v>2275485.0</v>
      </c>
    </row>
    <row r="22">
      <c r="B22" s="4">
        <f t="shared" si="1"/>
        <v>20</v>
      </c>
      <c r="C22" s="2">
        <v>1.040635E7</v>
      </c>
      <c r="D22" s="2">
        <v>5033856.0</v>
      </c>
      <c r="E22" s="2">
        <v>2460873.0</v>
      </c>
      <c r="F22" s="2">
        <v>2233848.0</v>
      </c>
      <c r="G22" s="2">
        <v>2153368.0</v>
      </c>
    </row>
    <row r="23">
      <c r="B23" s="4">
        <f t="shared" si="1"/>
        <v>21</v>
      </c>
      <c r="C23" s="2">
        <v>1.0387206E7</v>
      </c>
      <c r="D23" s="2">
        <v>5007597.0</v>
      </c>
      <c r="E23" s="2">
        <v>2469477.0</v>
      </c>
      <c r="F23" s="2">
        <v>2147326.0</v>
      </c>
      <c r="G23" s="2">
        <v>2061644.0</v>
      </c>
    </row>
    <row r="24">
      <c r="B24" s="4">
        <f t="shared" si="1"/>
        <v>22</v>
      </c>
      <c r="C24" s="2">
        <v>1.0350762E7</v>
      </c>
      <c r="D24" s="2">
        <v>4983914.0</v>
      </c>
      <c r="E24" s="2">
        <v>2458190.0</v>
      </c>
      <c r="F24" s="2">
        <v>2099803.0</v>
      </c>
      <c r="G24" s="2">
        <v>2012453.0</v>
      </c>
    </row>
    <row r="25">
      <c r="B25" s="4">
        <f t="shared" si="1"/>
        <v>23</v>
      </c>
      <c r="C25" s="2">
        <v>1.1038794E7</v>
      </c>
      <c r="D25" s="2">
        <v>5244076.0</v>
      </c>
      <c r="E25" s="2">
        <v>2327719.0</v>
      </c>
      <c r="F25" s="2">
        <v>2091951.0</v>
      </c>
      <c r="G25" s="2">
        <v>2081095.0</v>
      </c>
    </row>
    <row r="26">
      <c r="B26" s="4">
        <f t="shared" si="1"/>
        <v>24</v>
      </c>
      <c r="C26" s="2">
        <v>1.0790511E7</v>
      </c>
      <c r="D26" s="2">
        <v>4967569.0</v>
      </c>
      <c r="E26" s="2">
        <v>2393348.0</v>
      </c>
      <c r="F26" s="2">
        <v>2342191.0</v>
      </c>
      <c r="G26" s="2">
        <v>2110233.0</v>
      </c>
    </row>
    <row r="27">
      <c r="B27" s="4">
        <f t="shared" si="1"/>
        <v>25</v>
      </c>
      <c r="C27" s="2">
        <v>1.0253696E7</v>
      </c>
      <c r="D27" s="2">
        <v>5227539.0</v>
      </c>
      <c r="E27" s="2">
        <v>2444834.0</v>
      </c>
      <c r="F27" s="2">
        <v>2052801.0</v>
      </c>
      <c r="G27" s="2">
        <v>2186695.0</v>
      </c>
    </row>
    <row r="28">
      <c r="B28" s="4">
        <f t="shared" si="1"/>
        <v>26</v>
      </c>
      <c r="C28" s="2">
        <v>1.0556694E7</v>
      </c>
      <c r="D28" s="2">
        <v>5076731.0</v>
      </c>
      <c r="E28" s="2">
        <v>2433245.0</v>
      </c>
      <c r="F28" s="2">
        <v>2098163.0</v>
      </c>
      <c r="G28" s="2">
        <v>2120422.0</v>
      </c>
    </row>
    <row r="29">
      <c r="B29" s="4">
        <f t="shared" si="1"/>
        <v>27</v>
      </c>
      <c r="C29" s="2">
        <v>1.028232E7</v>
      </c>
      <c r="D29" s="2">
        <v>5244133.0</v>
      </c>
      <c r="E29" s="2">
        <v>2407534.0</v>
      </c>
      <c r="F29" s="2">
        <v>2120253.0</v>
      </c>
      <c r="G29" s="2">
        <v>2057872.0</v>
      </c>
    </row>
    <row r="30">
      <c r="B30" s="4">
        <f t="shared" si="1"/>
        <v>28</v>
      </c>
      <c r="C30" s="2">
        <v>1.0461538E7</v>
      </c>
      <c r="D30" s="2">
        <v>5263660.0</v>
      </c>
      <c r="E30" s="2">
        <v>2549978.0</v>
      </c>
      <c r="F30" s="2">
        <v>2130159.0</v>
      </c>
      <c r="G30" s="2">
        <v>2051769.0</v>
      </c>
    </row>
    <row r="31">
      <c r="B31" s="4">
        <f t="shared" si="1"/>
        <v>29</v>
      </c>
      <c r="C31" s="2">
        <v>1.0820891E7</v>
      </c>
      <c r="D31" s="2">
        <v>5088000.0</v>
      </c>
      <c r="E31" s="2">
        <v>2419207.0</v>
      </c>
      <c r="F31" s="2">
        <v>2087798.0</v>
      </c>
      <c r="G31" s="2">
        <v>2216112.0</v>
      </c>
    </row>
    <row r="32">
      <c r="B32" s="4">
        <f t="shared" si="1"/>
        <v>30</v>
      </c>
      <c r="C32" s="2">
        <v>1.0604766E7</v>
      </c>
      <c r="D32" s="2">
        <v>5154377.0</v>
      </c>
      <c r="E32" s="2">
        <v>2394733.0</v>
      </c>
      <c r="F32" s="2">
        <v>2116793.0</v>
      </c>
      <c r="G32" s="2">
        <v>2169799.0</v>
      </c>
    </row>
    <row r="33">
      <c r="B33" s="2" t="s">
        <v>15</v>
      </c>
      <c r="C33" s="1">
        <f t="shared" ref="C33:G33" si="2">AVERAGE(C3:C32)</f>
        <v>10555485.03</v>
      </c>
      <c r="D33" s="1">
        <f t="shared" si="2"/>
        <v>5119381.333</v>
      </c>
      <c r="E33" s="1">
        <f t="shared" si="2"/>
        <v>2438863.033</v>
      </c>
      <c r="F33" s="1">
        <f t="shared" si="2"/>
        <v>2161780.3</v>
      </c>
      <c r="G33" s="1">
        <f t="shared" si="2"/>
        <v>2123507.733</v>
      </c>
    </row>
    <row r="34">
      <c r="B34" s="2" t="s">
        <v>16</v>
      </c>
      <c r="C34" s="1">
        <f t="shared" ref="C34:G34" si="3">STDEV(C3:C32)</f>
        <v>239080.6566</v>
      </c>
      <c r="D34" s="1">
        <f t="shared" si="3"/>
        <v>128490.1343</v>
      </c>
      <c r="E34" s="1">
        <f t="shared" si="3"/>
        <v>73126.61874</v>
      </c>
      <c r="F34" s="1">
        <f t="shared" si="3"/>
        <v>80425.59326</v>
      </c>
      <c r="G34" s="1">
        <f t="shared" si="3"/>
        <v>113848.8475</v>
      </c>
    </row>
    <row r="37">
      <c r="A37" s="2" t="s">
        <v>17</v>
      </c>
      <c r="B37" s="2" t="s">
        <v>61</v>
      </c>
      <c r="C37" s="2" t="s">
        <v>49</v>
      </c>
    </row>
    <row r="38">
      <c r="A38" s="1">
        <f>STDEV(C3:C32)</f>
        <v>239080.6566</v>
      </c>
      <c r="B38" s="1">
        <f>AVERAGE(C3:C32)</f>
        <v>10555485.03</v>
      </c>
      <c r="C38" s="2">
        <v>1.0</v>
      </c>
    </row>
    <row r="39">
      <c r="A39" s="1">
        <f>STDEV(D3:D32)</f>
        <v>128490.1343</v>
      </c>
      <c r="B39" s="1">
        <f>AVERAGE(D3:D32)</f>
        <v>5119381.333</v>
      </c>
      <c r="C39" s="2">
        <v>2.0</v>
      </c>
    </row>
    <row r="40">
      <c r="A40" s="1">
        <f>STDEV(E3:E32)</f>
        <v>73126.61874</v>
      </c>
      <c r="B40" s="1">
        <f>AVERAGE(E3:E32)</f>
        <v>2438863.033</v>
      </c>
      <c r="C40" s="2">
        <v>4.0</v>
      </c>
    </row>
    <row r="41">
      <c r="A41" s="1">
        <f>STDEV(F3:F32)</f>
        <v>80425.59326</v>
      </c>
      <c r="B41" s="1">
        <f>AVERAGE(F3:F32)</f>
        <v>2161780.3</v>
      </c>
      <c r="C41" s="2">
        <v>8.0</v>
      </c>
    </row>
    <row r="42">
      <c r="A42" s="1">
        <f>STDEV(G3:G32)</f>
        <v>113848.8475</v>
      </c>
      <c r="B42" s="1">
        <f>AVERAGE(G3:G32)</f>
        <v>2123507.733</v>
      </c>
      <c r="C42" s="2">
        <v>12.0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38"/>
    <col customWidth="1" min="3" max="3" width="25.25"/>
    <col customWidth="1" min="4" max="4" width="24.5"/>
    <col customWidth="1" min="5" max="5" width="24.13"/>
    <col customWidth="1" min="6" max="6" width="24.25"/>
    <col customWidth="1" min="7" max="7" width="23.75"/>
  </cols>
  <sheetData>
    <row r="2">
      <c r="B2" s="1"/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</row>
    <row r="3">
      <c r="B3" s="4">
        <v>1.0</v>
      </c>
      <c r="C3" s="2">
        <v>2.825935E7</v>
      </c>
      <c r="D3" s="2">
        <v>1.4211611E7</v>
      </c>
      <c r="E3" s="2">
        <v>6828939.0</v>
      </c>
      <c r="F3" s="2">
        <v>5496106.0</v>
      </c>
      <c r="G3" s="2">
        <v>5508815.0</v>
      </c>
    </row>
    <row r="4">
      <c r="B4" s="4">
        <f t="shared" ref="B4:B32" si="1">B3+1</f>
        <v>2</v>
      </c>
      <c r="C4" s="2">
        <v>2.8069121E7</v>
      </c>
      <c r="D4" s="2">
        <v>1.3756629E7</v>
      </c>
      <c r="E4" s="2">
        <v>6854270.0</v>
      </c>
      <c r="F4" s="2">
        <v>5802879.0</v>
      </c>
      <c r="G4" s="2">
        <v>5484403.0</v>
      </c>
    </row>
    <row r="5">
      <c r="B5" s="4">
        <f t="shared" si="1"/>
        <v>3</v>
      </c>
      <c r="C5" s="2">
        <v>2.9049699E7</v>
      </c>
      <c r="D5" s="2">
        <v>1.4169704E7</v>
      </c>
      <c r="E5" s="2">
        <v>6941607.0</v>
      </c>
      <c r="F5" s="2">
        <v>5602220.0</v>
      </c>
      <c r="G5" s="2">
        <v>5731990.0</v>
      </c>
    </row>
    <row r="6">
      <c r="B6" s="4">
        <f t="shared" si="1"/>
        <v>4</v>
      </c>
      <c r="C6" s="2">
        <v>2.8269395E7</v>
      </c>
      <c r="D6" s="2">
        <v>1.4079326E7</v>
      </c>
      <c r="E6" s="2">
        <v>6827074.0</v>
      </c>
      <c r="F6" s="2">
        <v>5390893.0</v>
      </c>
      <c r="G6" s="2">
        <v>5789004.0</v>
      </c>
    </row>
    <row r="7">
      <c r="B7" s="4">
        <f t="shared" si="1"/>
        <v>5</v>
      </c>
      <c r="C7" s="2">
        <v>2.8668416E7</v>
      </c>
      <c r="D7" s="2">
        <v>1.3937312E7</v>
      </c>
      <c r="E7" s="2">
        <v>7093615.0</v>
      </c>
      <c r="F7" s="2">
        <v>5522885.0</v>
      </c>
      <c r="G7" s="2">
        <v>5534744.0</v>
      </c>
    </row>
    <row r="8">
      <c r="B8" s="4">
        <f t="shared" si="1"/>
        <v>6</v>
      </c>
      <c r="C8" s="2">
        <v>2.8884091E7</v>
      </c>
      <c r="D8" s="2">
        <v>1.3890157E7</v>
      </c>
      <c r="E8" s="2">
        <v>6945709.0</v>
      </c>
      <c r="F8" s="2">
        <v>5836669.0</v>
      </c>
      <c r="G8" s="2">
        <v>5334577.0</v>
      </c>
    </row>
    <row r="9">
      <c r="B9" s="4">
        <f t="shared" si="1"/>
        <v>7</v>
      </c>
      <c r="C9" s="2">
        <v>2.8931318E7</v>
      </c>
      <c r="D9" s="2">
        <v>1.3723554E7</v>
      </c>
      <c r="E9" s="2">
        <v>7102306.0</v>
      </c>
      <c r="F9" s="2">
        <v>5601396.0</v>
      </c>
      <c r="G9" s="2">
        <v>5338310.0</v>
      </c>
    </row>
    <row r="10">
      <c r="B10" s="4">
        <f t="shared" si="1"/>
        <v>8</v>
      </c>
      <c r="C10" s="2">
        <v>2.8774106E7</v>
      </c>
      <c r="D10" s="2">
        <v>1.4240525E7</v>
      </c>
      <c r="E10" s="2">
        <v>6832066.0</v>
      </c>
      <c r="F10" s="2">
        <v>5430434.0</v>
      </c>
      <c r="G10" s="2">
        <v>5680717.0</v>
      </c>
    </row>
    <row r="11">
      <c r="B11" s="4">
        <f t="shared" si="1"/>
        <v>9</v>
      </c>
      <c r="C11" s="2">
        <v>2.7931223E7</v>
      </c>
      <c r="D11" s="2">
        <v>1.410909E7</v>
      </c>
      <c r="E11" s="2">
        <v>7033838.0</v>
      </c>
      <c r="F11" s="2">
        <v>5629941.0</v>
      </c>
      <c r="G11" s="2">
        <v>5527608.0</v>
      </c>
    </row>
    <row r="12">
      <c r="B12" s="4">
        <f t="shared" si="1"/>
        <v>10</v>
      </c>
      <c r="C12" s="2">
        <v>2.7862305E7</v>
      </c>
      <c r="D12" s="2">
        <v>1.3525348E7</v>
      </c>
      <c r="E12" s="2">
        <v>6864475.0</v>
      </c>
      <c r="F12" s="2">
        <v>5555240.0</v>
      </c>
      <c r="G12" s="2">
        <v>5415429.0</v>
      </c>
    </row>
    <row r="13">
      <c r="B13" s="4">
        <f t="shared" si="1"/>
        <v>11</v>
      </c>
      <c r="C13" s="2">
        <v>2.8478356E7</v>
      </c>
      <c r="D13" s="2">
        <v>1.4307525E7</v>
      </c>
      <c r="E13" s="2">
        <v>6768516.0</v>
      </c>
      <c r="F13" s="2">
        <v>5533373.0</v>
      </c>
      <c r="G13" s="2">
        <v>5654788.0</v>
      </c>
    </row>
    <row r="14">
      <c r="B14" s="4">
        <f t="shared" si="1"/>
        <v>12</v>
      </c>
      <c r="C14" s="2">
        <v>2.8036433E7</v>
      </c>
      <c r="D14" s="2">
        <v>1.4350011E7</v>
      </c>
      <c r="E14" s="2">
        <v>6716337.0</v>
      </c>
      <c r="F14" s="2">
        <v>5517679.0</v>
      </c>
      <c r="G14" s="2">
        <v>5380112.0</v>
      </c>
    </row>
    <row r="15">
      <c r="B15" s="4">
        <f t="shared" si="1"/>
        <v>13</v>
      </c>
      <c r="C15" s="2">
        <v>2.9082356E7</v>
      </c>
      <c r="D15" s="2">
        <v>1.4212839E7</v>
      </c>
      <c r="E15" s="2">
        <v>6861489.0</v>
      </c>
      <c r="F15" s="2">
        <v>5504873.0</v>
      </c>
      <c r="G15" s="2">
        <v>5576811.0</v>
      </c>
    </row>
    <row r="16">
      <c r="B16" s="4">
        <f t="shared" si="1"/>
        <v>14</v>
      </c>
      <c r="C16" s="2">
        <v>2.7999883E7</v>
      </c>
      <c r="D16" s="2">
        <v>1.3854891E7</v>
      </c>
      <c r="E16" s="2">
        <v>6831033.0</v>
      </c>
      <c r="F16" s="2">
        <v>5832030.0</v>
      </c>
      <c r="G16" s="2">
        <v>6807743.0</v>
      </c>
    </row>
    <row r="17">
      <c r="B17" s="4">
        <f t="shared" si="1"/>
        <v>15</v>
      </c>
      <c r="C17" s="2">
        <v>2.8411573E7</v>
      </c>
      <c r="D17" s="2">
        <v>1.406416E7</v>
      </c>
      <c r="E17" s="2">
        <v>6781556.0</v>
      </c>
      <c r="F17" s="2">
        <v>5842086.0</v>
      </c>
      <c r="G17" s="2">
        <v>5954977.0</v>
      </c>
    </row>
    <row r="18">
      <c r="B18" s="4">
        <f t="shared" si="1"/>
        <v>16</v>
      </c>
      <c r="C18" s="2">
        <v>2.7859916E7</v>
      </c>
      <c r="D18" s="2">
        <v>1.4317856E7</v>
      </c>
      <c r="E18" s="2">
        <v>6775030.0</v>
      </c>
      <c r="F18" s="2">
        <v>5738317.0</v>
      </c>
      <c r="G18" s="2">
        <v>5325718.0</v>
      </c>
    </row>
    <row r="19">
      <c r="B19" s="4">
        <f t="shared" si="1"/>
        <v>17</v>
      </c>
      <c r="C19" s="2">
        <v>2.8282774E7</v>
      </c>
      <c r="D19" s="2">
        <v>1.4191884E7</v>
      </c>
      <c r="E19" s="2">
        <v>6741742.0</v>
      </c>
      <c r="F19" s="2">
        <v>5642820.0</v>
      </c>
      <c r="G19" s="2">
        <v>5305220.0</v>
      </c>
    </row>
    <row r="20">
      <c r="B20" s="4">
        <f t="shared" si="1"/>
        <v>18</v>
      </c>
      <c r="C20" s="2">
        <v>2.8040075E7</v>
      </c>
      <c r="D20" s="2">
        <v>1.4146289E7</v>
      </c>
      <c r="E20" s="2">
        <v>6569282.0</v>
      </c>
      <c r="F20" s="2">
        <v>5438435.0</v>
      </c>
      <c r="G20" s="2">
        <v>5862519.0</v>
      </c>
    </row>
    <row r="21">
      <c r="B21" s="4">
        <f t="shared" si="1"/>
        <v>19</v>
      </c>
      <c r="C21" s="2">
        <v>2.8972348E7</v>
      </c>
      <c r="D21" s="2">
        <v>1.4535585E7</v>
      </c>
      <c r="E21" s="2">
        <v>6638804.0</v>
      </c>
      <c r="F21" s="2">
        <v>5567883.0</v>
      </c>
      <c r="G21" s="2">
        <v>6028158.0</v>
      </c>
    </row>
    <row r="22">
      <c r="B22" s="4">
        <f t="shared" si="1"/>
        <v>20</v>
      </c>
      <c r="C22" s="2">
        <v>2.8260775E7</v>
      </c>
      <c r="D22" s="2">
        <v>1.415977E7</v>
      </c>
      <c r="E22" s="2">
        <v>6744344.0</v>
      </c>
      <c r="F22" s="2">
        <v>5711286.0</v>
      </c>
      <c r="G22" s="2">
        <v>5507592.0</v>
      </c>
    </row>
    <row r="23">
      <c r="B23" s="4">
        <f t="shared" si="1"/>
        <v>21</v>
      </c>
      <c r="C23" s="2">
        <v>2.9575003E7</v>
      </c>
      <c r="D23" s="2">
        <v>1.3854393E7</v>
      </c>
      <c r="E23" s="2">
        <v>6710371.0</v>
      </c>
      <c r="F23" s="2">
        <v>5728613.0</v>
      </c>
      <c r="G23" s="2">
        <v>5630496.0</v>
      </c>
    </row>
    <row r="24">
      <c r="B24" s="4">
        <f t="shared" si="1"/>
        <v>22</v>
      </c>
      <c r="C24" s="2">
        <v>2.8505507E7</v>
      </c>
      <c r="D24" s="2">
        <v>1.4204231E7</v>
      </c>
      <c r="E24" s="2">
        <v>6647731.0</v>
      </c>
      <c r="F24" s="2">
        <v>5607621.0</v>
      </c>
      <c r="G24" s="2">
        <v>5441918.0</v>
      </c>
    </row>
    <row r="25">
      <c r="B25" s="4">
        <f t="shared" si="1"/>
        <v>23</v>
      </c>
      <c r="C25" s="2">
        <v>2.8654627E7</v>
      </c>
      <c r="D25" s="2">
        <v>1.4287356E7</v>
      </c>
      <c r="E25" s="2">
        <v>6546817.0</v>
      </c>
      <c r="F25" s="2">
        <v>5832582.0</v>
      </c>
      <c r="G25" s="2">
        <v>5335439.0</v>
      </c>
    </row>
    <row r="26">
      <c r="B26" s="4">
        <f t="shared" si="1"/>
        <v>24</v>
      </c>
      <c r="C26" s="2">
        <v>2.8658467E7</v>
      </c>
      <c r="D26" s="2">
        <v>1.3983626E7</v>
      </c>
      <c r="E26" s="2">
        <v>6659981.0</v>
      </c>
      <c r="F26" s="2">
        <v>5916054.0</v>
      </c>
      <c r="G26" s="2">
        <v>5879785.0</v>
      </c>
    </row>
    <row r="27">
      <c r="B27" s="4">
        <f t="shared" si="1"/>
        <v>25</v>
      </c>
      <c r="C27" s="2">
        <v>2.9931536E7</v>
      </c>
      <c r="D27" s="2">
        <v>1.4323616E7</v>
      </c>
      <c r="E27" s="2">
        <v>6644023.0</v>
      </c>
      <c r="F27" s="2">
        <v>5734241.0</v>
      </c>
      <c r="G27" s="2">
        <v>5498886.0</v>
      </c>
    </row>
    <row r="28">
      <c r="B28" s="4">
        <f t="shared" si="1"/>
        <v>26</v>
      </c>
      <c r="C28" s="2">
        <v>2.9617641E7</v>
      </c>
      <c r="D28" s="2">
        <v>1.4201102E7</v>
      </c>
      <c r="E28" s="2">
        <v>6727818.0</v>
      </c>
      <c r="F28" s="2">
        <v>5566935.0</v>
      </c>
      <c r="G28" s="2">
        <v>5848094.0</v>
      </c>
    </row>
    <row r="29">
      <c r="B29" s="4">
        <f t="shared" si="1"/>
        <v>27</v>
      </c>
      <c r="C29" s="2">
        <v>2.8712988E7</v>
      </c>
      <c r="D29" s="2">
        <v>1.4024086E7</v>
      </c>
      <c r="E29" s="2">
        <v>6689845.0</v>
      </c>
      <c r="F29" s="2">
        <v>5664510.0</v>
      </c>
      <c r="G29" s="2">
        <v>5321706.0</v>
      </c>
    </row>
    <row r="30">
      <c r="B30" s="4">
        <f t="shared" si="1"/>
        <v>28</v>
      </c>
      <c r="C30" s="2">
        <v>2.7989064E7</v>
      </c>
      <c r="D30" s="2">
        <v>1.4432245E7</v>
      </c>
      <c r="E30" s="2">
        <v>6600911.0</v>
      </c>
      <c r="F30" s="2">
        <v>5543326.0</v>
      </c>
      <c r="G30" s="2">
        <v>5528763.0</v>
      </c>
    </row>
    <row r="31">
      <c r="B31" s="4">
        <f t="shared" si="1"/>
        <v>29</v>
      </c>
      <c r="C31" s="2">
        <v>2.7750033E7</v>
      </c>
      <c r="D31" s="2">
        <v>1.4474333E7</v>
      </c>
      <c r="E31" s="2">
        <v>6732364.0</v>
      </c>
      <c r="F31" s="2">
        <v>5558429.0</v>
      </c>
      <c r="G31" s="2">
        <v>5538055.0</v>
      </c>
    </row>
    <row r="32">
      <c r="B32" s="4">
        <f t="shared" si="1"/>
        <v>30</v>
      </c>
      <c r="C32" s="2">
        <v>2.8013288E7</v>
      </c>
      <c r="D32" s="2">
        <v>1.4399802E7</v>
      </c>
      <c r="E32" s="2">
        <v>6791447.0</v>
      </c>
      <c r="F32" s="2">
        <v>5711396.0</v>
      </c>
      <c r="G32" s="2">
        <v>5739112.0</v>
      </c>
    </row>
    <row r="33">
      <c r="B33" s="2" t="s">
        <v>15</v>
      </c>
      <c r="C33" s="1">
        <f t="shared" ref="C33:G33" si="2">AVERAGE(C3:C32)</f>
        <v>28517722.23</v>
      </c>
      <c r="D33" s="1">
        <f t="shared" si="2"/>
        <v>14132295.2</v>
      </c>
      <c r="E33" s="1">
        <f t="shared" si="2"/>
        <v>6783444.667</v>
      </c>
      <c r="F33" s="1">
        <f t="shared" si="2"/>
        <v>5635371.733</v>
      </c>
      <c r="G33" s="1">
        <f t="shared" si="2"/>
        <v>5617049.633</v>
      </c>
    </row>
    <row r="34">
      <c r="B34" s="2" t="s">
        <v>16</v>
      </c>
      <c r="C34" s="1">
        <f t="shared" ref="C34:G34" si="3">STDEV(C3:C32)</f>
        <v>560995.9972</v>
      </c>
      <c r="D34" s="1">
        <f t="shared" si="3"/>
        <v>236633.0013</v>
      </c>
      <c r="E34" s="1">
        <f t="shared" si="3"/>
        <v>140850.8125</v>
      </c>
      <c r="F34" s="1">
        <f t="shared" si="3"/>
        <v>138485.0025</v>
      </c>
      <c r="G34" s="1">
        <f t="shared" si="3"/>
        <v>303214.5693</v>
      </c>
    </row>
    <row r="37">
      <c r="A37" s="2" t="s">
        <v>17</v>
      </c>
      <c r="B37" s="2" t="s">
        <v>61</v>
      </c>
      <c r="C37" s="2" t="s">
        <v>49</v>
      </c>
    </row>
    <row r="38">
      <c r="A38" s="1">
        <f>STDEV(C3:C32)</f>
        <v>560995.9972</v>
      </c>
      <c r="B38" s="1">
        <f>AVERAGE(C3:C32)</f>
        <v>28517722.23</v>
      </c>
      <c r="C38" s="2">
        <v>1.0</v>
      </c>
    </row>
    <row r="39">
      <c r="A39" s="1">
        <f>STDEV(D3:D32)</f>
        <v>236633.0013</v>
      </c>
      <c r="B39" s="1">
        <f>AVERAGE(D3:D32)</f>
        <v>14132295.2</v>
      </c>
      <c r="C39" s="2">
        <v>2.0</v>
      </c>
    </row>
    <row r="40">
      <c r="A40" s="1">
        <f>STDEV(E3:E32)</f>
        <v>140850.8125</v>
      </c>
      <c r="B40" s="1">
        <f>AVERAGE(E3:E32)</f>
        <v>6783444.667</v>
      </c>
      <c r="C40" s="2">
        <v>4.0</v>
      </c>
    </row>
    <row r="41">
      <c r="A41" s="1">
        <f>STDEV(F3:F32)</f>
        <v>138485.0025</v>
      </c>
      <c r="B41" s="1">
        <f>AVERAGE(F3:F32)</f>
        <v>5635371.733</v>
      </c>
      <c r="C41" s="2">
        <v>8.0</v>
      </c>
    </row>
    <row r="42">
      <c r="A42" s="1">
        <f>STDEV(G3:G32)</f>
        <v>303214.5693</v>
      </c>
      <c r="B42" s="1">
        <f>AVERAGE(G3:G32)</f>
        <v>5617049.633</v>
      </c>
      <c r="C42" s="2">
        <v>12.0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25"/>
    <col customWidth="1" min="3" max="3" width="25.25"/>
    <col customWidth="1" min="4" max="4" width="24.5"/>
    <col customWidth="1" min="5" max="5" width="24.13"/>
    <col customWidth="1" min="6" max="6" width="24.25"/>
    <col customWidth="1" min="7" max="7" width="23.75"/>
  </cols>
  <sheetData>
    <row r="2">
      <c r="B2" s="1"/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</row>
    <row r="3">
      <c r="B3" s="4">
        <v>1.0</v>
      </c>
      <c r="C3" s="2">
        <v>4.9658565E7</v>
      </c>
      <c r="D3" s="2">
        <v>2.4701282E7</v>
      </c>
      <c r="E3" s="2">
        <v>1.2150658E7</v>
      </c>
      <c r="F3" s="2">
        <v>1.1170612E7</v>
      </c>
      <c r="G3" s="2">
        <v>1.0431967E7</v>
      </c>
    </row>
    <row r="4">
      <c r="B4" s="4">
        <f t="shared" ref="B4:B32" si="1">B3+1</f>
        <v>2</v>
      </c>
      <c r="C4" s="2">
        <v>5.0340308E7</v>
      </c>
      <c r="D4" s="2">
        <v>2.4710832E7</v>
      </c>
      <c r="E4" s="2">
        <v>1.2004309E7</v>
      </c>
      <c r="F4" s="2">
        <v>1.1560762E7</v>
      </c>
      <c r="G4" s="2">
        <v>1.0804438E7</v>
      </c>
    </row>
    <row r="5">
      <c r="B5" s="4">
        <f t="shared" si="1"/>
        <v>3</v>
      </c>
      <c r="C5" s="2">
        <v>4.9699194E7</v>
      </c>
      <c r="D5" s="2">
        <v>2.48706E7</v>
      </c>
      <c r="E5" s="2">
        <v>1.22091E7</v>
      </c>
      <c r="F5" s="2">
        <v>1.0923333E7</v>
      </c>
      <c r="G5" s="2">
        <v>1.0689961E7</v>
      </c>
    </row>
    <row r="6">
      <c r="B6" s="4">
        <f t="shared" si="1"/>
        <v>4</v>
      </c>
      <c r="C6" s="2">
        <v>5.0202387E7</v>
      </c>
      <c r="D6" s="2">
        <v>2.5223157E7</v>
      </c>
      <c r="E6" s="2">
        <v>1.204519E7</v>
      </c>
      <c r="F6" s="2">
        <v>1.1105374E7</v>
      </c>
      <c r="G6" s="2">
        <v>1.0459749E7</v>
      </c>
    </row>
    <row r="7">
      <c r="B7" s="4">
        <f t="shared" si="1"/>
        <v>5</v>
      </c>
      <c r="C7" s="2">
        <v>4.9046933E7</v>
      </c>
      <c r="D7" s="2">
        <v>2.4845216E7</v>
      </c>
      <c r="E7" s="2">
        <v>1.2067516E7</v>
      </c>
      <c r="F7" s="2">
        <v>1.0960903E7</v>
      </c>
      <c r="G7" s="2">
        <v>1.0733176E7</v>
      </c>
    </row>
    <row r="8">
      <c r="B8" s="4">
        <f t="shared" si="1"/>
        <v>6</v>
      </c>
      <c r="C8" s="2">
        <v>4.909595E7</v>
      </c>
      <c r="D8" s="2">
        <v>2.4877799E7</v>
      </c>
      <c r="E8" s="2">
        <v>1.2195136E7</v>
      </c>
      <c r="F8" s="2">
        <v>1.0509948E7</v>
      </c>
      <c r="G8" s="2">
        <v>1.169236E7</v>
      </c>
    </row>
    <row r="9">
      <c r="B9" s="4">
        <f t="shared" si="1"/>
        <v>7</v>
      </c>
      <c r="C9" s="2">
        <v>4.8883057E7</v>
      </c>
      <c r="D9" s="2">
        <v>2.480828E7</v>
      </c>
      <c r="E9" s="2">
        <v>1.1989665E7</v>
      </c>
      <c r="F9" s="2">
        <v>1.0795628E7</v>
      </c>
      <c r="G9" s="2">
        <v>1.0663641E7</v>
      </c>
    </row>
    <row r="10">
      <c r="B10" s="4">
        <f t="shared" si="1"/>
        <v>8</v>
      </c>
      <c r="C10" s="2">
        <v>4.9400468E7</v>
      </c>
      <c r="D10" s="2">
        <v>2.4462541E7</v>
      </c>
      <c r="E10" s="2">
        <v>1.2056267E7</v>
      </c>
      <c r="F10" s="2">
        <v>1.0916816E7</v>
      </c>
      <c r="G10" s="2">
        <v>1.0579185E7</v>
      </c>
    </row>
    <row r="11">
      <c r="B11" s="4">
        <f t="shared" si="1"/>
        <v>9</v>
      </c>
      <c r="C11" s="2">
        <v>4.9120989E7</v>
      </c>
      <c r="D11" s="2">
        <v>2.520405E7</v>
      </c>
      <c r="E11" s="2">
        <v>1.2302239E7</v>
      </c>
      <c r="F11" s="2">
        <v>1.0684353E7</v>
      </c>
      <c r="G11" s="2">
        <v>1.0349631E7</v>
      </c>
    </row>
    <row r="12">
      <c r="B12" s="4">
        <f t="shared" si="1"/>
        <v>10</v>
      </c>
      <c r="C12" s="2">
        <v>4.9613419E7</v>
      </c>
      <c r="D12" s="2">
        <v>2.465343E7</v>
      </c>
      <c r="E12" s="2">
        <v>1.2020567E7</v>
      </c>
      <c r="F12" s="2">
        <v>1.0656574E7</v>
      </c>
      <c r="G12" s="2">
        <v>1.0612181E7</v>
      </c>
    </row>
    <row r="13">
      <c r="B13" s="4">
        <f t="shared" si="1"/>
        <v>11</v>
      </c>
      <c r="C13" s="2">
        <v>4.9651379E7</v>
      </c>
      <c r="D13" s="2">
        <v>2.4870895E7</v>
      </c>
      <c r="E13" s="2">
        <v>1.2226954E7</v>
      </c>
      <c r="F13" s="2">
        <v>1.0536159E7</v>
      </c>
      <c r="G13" s="2">
        <v>1.0733684E7</v>
      </c>
    </row>
    <row r="14">
      <c r="B14" s="4">
        <f t="shared" si="1"/>
        <v>12</v>
      </c>
      <c r="C14" s="2">
        <v>4.9990114E7</v>
      </c>
      <c r="D14" s="2">
        <v>2.5458096E7</v>
      </c>
      <c r="E14" s="2">
        <v>1.2183221E7</v>
      </c>
      <c r="F14" s="2">
        <v>1.0361834E7</v>
      </c>
      <c r="G14" s="2">
        <v>1.0728014E7</v>
      </c>
    </row>
    <row r="15">
      <c r="B15" s="4">
        <f t="shared" si="1"/>
        <v>13</v>
      </c>
      <c r="C15" s="2">
        <v>4.981415E7</v>
      </c>
      <c r="D15" s="2">
        <v>2.5154259E7</v>
      </c>
      <c r="E15" s="2">
        <v>1.2033911E7</v>
      </c>
      <c r="F15" s="2">
        <v>1.0334809E7</v>
      </c>
      <c r="G15" s="2">
        <v>1.0974246E7</v>
      </c>
    </row>
    <row r="16">
      <c r="B16" s="4">
        <f t="shared" si="1"/>
        <v>14</v>
      </c>
      <c r="C16" s="2">
        <v>5.0058107E7</v>
      </c>
      <c r="D16" s="2">
        <v>2.5448615E7</v>
      </c>
      <c r="E16" s="2">
        <v>1.214073E7</v>
      </c>
      <c r="F16" s="2">
        <v>1.0354797E7</v>
      </c>
      <c r="G16" s="2">
        <v>1.0931493E7</v>
      </c>
    </row>
    <row r="17">
      <c r="B17" s="4">
        <f t="shared" si="1"/>
        <v>15</v>
      </c>
      <c r="C17" s="2">
        <v>4.912917E7</v>
      </c>
      <c r="D17" s="2">
        <v>2.5330847E7</v>
      </c>
      <c r="E17" s="2">
        <v>1.2246029E7</v>
      </c>
      <c r="F17" s="2">
        <v>1.0666111E7</v>
      </c>
      <c r="G17" s="2">
        <v>1.1092735E7</v>
      </c>
    </row>
    <row r="18">
      <c r="B18" s="4">
        <f t="shared" si="1"/>
        <v>16</v>
      </c>
      <c r="C18" s="2">
        <v>4.8728944E7</v>
      </c>
      <c r="D18" s="2">
        <v>2.5060168E7</v>
      </c>
      <c r="E18" s="2">
        <v>1.2099104E7</v>
      </c>
      <c r="F18" s="2">
        <v>1.0827624E7</v>
      </c>
      <c r="G18" s="2">
        <v>1.1247837E7</v>
      </c>
    </row>
    <row r="19">
      <c r="B19" s="4">
        <f t="shared" si="1"/>
        <v>17</v>
      </c>
      <c r="C19" s="2">
        <v>4.9174456E7</v>
      </c>
      <c r="D19" s="2">
        <v>2.5523961E7</v>
      </c>
      <c r="E19" s="2">
        <v>1.2124865E7</v>
      </c>
      <c r="F19" s="2">
        <v>1.0813121E7</v>
      </c>
      <c r="G19" s="2">
        <v>1.0907299E7</v>
      </c>
    </row>
    <row r="20">
      <c r="B20" s="4">
        <f t="shared" si="1"/>
        <v>18</v>
      </c>
      <c r="C20" s="2">
        <v>4.9132354E7</v>
      </c>
      <c r="D20" s="2">
        <v>2.5554879E7</v>
      </c>
      <c r="E20" s="2">
        <v>1.2161957E7</v>
      </c>
      <c r="F20" s="2">
        <v>1.0333303E7</v>
      </c>
      <c r="G20" s="2">
        <v>1.1148406E7</v>
      </c>
    </row>
    <row r="21">
      <c r="B21" s="4">
        <f t="shared" si="1"/>
        <v>19</v>
      </c>
      <c r="C21" s="2">
        <v>4.9092211E7</v>
      </c>
      <c r="D21" s="2">
        <v>2.5508715E7</v>
      </c>
      <c r="E21" s="2">
        <v>1.2150502E7</v>
      </c>
      <c r="F21" s="2">
        <v>1.0570418E7</v>
      </c>
      <c r="G21" s="2">
        <v>1.1365785E7</v>
      </c>
    </row>
    <row r="22">
      <c r="B22" s="4">
        <f t="shared" si="1"/>
        <v>20</v>
      </c>
      <c r="C22" s="2">
        <v>4.8597102E7</v>
      </c>
      <c r="D22" s="2">
        <v>2.5417865E7</v>
      </c>
      <c r="E22" s="2">
        <v>1.225421E7</v>
      </c>
      <c r="F22" s="2">
        <v>1.0583893E7</v>
      </c>
      <c r="G22" s="2">
        <v>1.1048735E7</v>
      </c>
    </row>
    <row r="23">
      <c r="B23" s="4">
        <f t="shared" si="1"/>
        <v>21</v>
      </c>
      <c r="C23" s="2">
        <v>4.9322874E7</v>
      </c>
      <c r="D23" s="2">
        <v>2.5022366E7</v>
      </c>
      <c r="E23" s="2">
        <v>1.2236695E7</v>
      </c>
      <c r="F23" s="2">
        <v>1.0737728E7</v>
      </c>
      <c r="G23" s="2">
        <v>1.0667368E7</v>
      </c>
    </row>
    <row r="24">
      <c r="B24" s="4">
        <f t="shared" si="1"/>
        <v>22</v>
      </c>
      <c r="C24" s="2">
        <v>4.9205667E7</v>
      </c>
      <c r="D24" s="2">
        <v>2.515148E7</v>
      </c>
      <c r="E24" s="2">
        <v>1.2054247E7</v>
      </c>
      <c r="F24" s="2">
        <v>1.0699803E7</v>
      </c>
      <c r="G24" s="2">
        <v>1.049638E7</v>
      </c>
    </row>
    <row r="25">
      <c r="B25" s="4">
        <f t="shared" si="1"/>
        <v>23</v>
      </c>
      <c r="C25" s="2">
        <v>4.9461933E7</v>
      </c>
      <c r="D25" s="2">
        <v>2.4831333E7</v>
      </c>
      <c r="E25" s="2">
        <v>1.225182E7</v>
      </c>
      <c r="F25" s="2">
        <v>1.0599295E7</v>
      </c>
      <c r="G25" s="2">
        <v>1.0763535E7</v>
      </c>
    </row>
    <row r="26">
      <c r="B26" s="4">
        <f t="shared" si="1"/>
        <v>24</v>
      </c>
      <c r="C26" s="2">
        <v>4.9594699E7</v>
      </c>
      <c r="D26" s="2">
        <v>2.4704102E7</v>
      </c>
      <c r="E26" s="2">
        <v>1.222134E7</v>
      </c>
      <c r="F26" s="2">
        <v>1.0677401E7</v>
      </c>
      <c r="G26" s="2">
        <v>1.0820084E7</v>
      </c>
    </row>
    <row r="27">
      <c r="B27" s="4">
        <f t="shared" si="1"/>
        <v>25</v>
      </c>
      <c r="C27" s="2">
        <v>4.9357622E7</v>
      </c>
      <c r="D27" s="2">
        <v>2.5033166E7</v>
      </c>
      <c r="E27" s="2">
        <v>1.2372914E7</v>
      </c>
      <c r="F27" s="2">
        <v>1.0467454E7</v>
      </c>
      <c r="G27" s="2">
        <v>1.0922614E7</v>
      </c>
    </row>
    <row r="28">
      <c r="B28" s="4">
        <f t="shared" si="1"/>
        <v>26</v>
      </c>
      <c r="C28" s="2">
        <v>4.984321E7</v>
      </c>
      <c r="D28" s="2">
        <v>2.463852E7</v>
      </c>
      <c r="E28" s="2">
        <v>1.2191936E7</v>
      </c>
      <c r="F28" s="2">
        <v>1.0766663E7</v>
      </c>
      <c r="G28" s="2">
        <v>1.0877233E7</v>
      </c>
    </row>
    <row r="29">
      <c r="B29" s="4">
        <f t="shared" si="1"/>
        <v>27</v>
      </c>
      <c r="C29" s="2">
        <v>4.932546E7</v>
      </c>
      <c r="D29" s="2">
        <v>2.4628469E7</v>
      </c>
      <c r="E29" s="2">
        <v>1.2162249E7</v>
      </c>
      <c r="F29" s="2">
        <v>1.0473132E7</v>
      </c>
      <c r="G29" s="2">
        <v>1.1352084E7</v>
      </c>
    </row>
    <row r="30">
      <c r="B30" s="4">
        <f t="shared" si="1"/>
        <v>28</v>
      </c>
      <c r="C30" s="2">
        <v>4.9082758E7</v>
      </c>
      <c r="D30" s="2">
        <v>2.5021698E7</v>
      </c>
      <c r="E30" s="2">
        <v>1.217632E7</v>
      </c>
      <c r="F30" s="2">
        <v>1.0601955E7</v>
      </c>
      <c r="G30" s="2">
        <v>1.0975692E7</v>
      </c>
    </row>
    <row r="31">
      <c r="B31" s="4">
        <f t="shared" si="1"/>
        <v>29</v>
      </c>
      <c r="C31" s="2">
        <v>4.9424555E7</v>
      </c>
      <c r="D31" s="2">
        <v>2.5202405E7</v>
      </c>
      <c r="E31" s="2">
        <v>1.2360945E7</v>
      </c>
      <c r="F31" s="2">
        <v>1.0507571E7</v>
      </c>
      <c r="G31" s="2">
        <v>1.0772148E7</v>
      </c>
    </row>
    <row r="32">
      <c r="B32" s="4">
        <f t="shared" si="1"/>
        <v>30</v>
      </c>
      <c r="C32" s="2">
        <v>4.94794E7</v>
      </c>
      <c r="D32" s="2">
        <v>2.5266222E7</v>
      </c>
      <c r="E32" s="2">
        <v>1.2274126E7</v>
      </c>
      <c r="F32" s="2">
        <v>1.0664804E7</v>
      </c>
      <c r="G32" s="2">
        <v>1.2270887E7</v>
      </c>
    </row>
    <row r="33">
      <c r="B33" s="2" t="s">
        <v>15</v>
      </c>
      <c r="C33" s="1">
        <f t="shared" ref="C33:G33" si="2">AVERAGE(C3:C32)</f>
        <v>49417581.17</v>
      </c>
      <c r="D33" s="1">
        <f t="shared" si="2"/>
        <v>25039508.27</v>
      </c>
      <c r="E33" s="1">
        <f t="shared" si="2"/>
        <v>12165490.73</v>
      </c>
      <c r="F33" s="1">
        <f t="shared" si="2"/>
        <v>10695405.93</v>
      </c>
      <c r="G33" s="1">
        <f t="shared" si="2"/>
        <v>10903751.6</v>
      </c>
    </row>
    <row r="34">
      <c r="B34" s="2" t="s">
        <v>16</v>
      </c>
      <c r="C34" s="1">
        <f t="shared" ref="C34:G34" si="3">STDEV(C3:C32)</f>
        <v>418586.5265</v>
      </c>
      <c r="D34" s="1">
        <f t="shared" si="3"/>
        <v>311883.5738</v>
      </c>
      <c r="E34" s="1">
        <f t="shared" si="3"/>
        <v>101733.6525</v>
      </c>
      <c r="F34" s="1">
        <f t="shared" si="3"/>
        <v>268911.1097</v>
      </c>
      <c r="G34" s="1">
        <f t="shared" si="3"/>
        <v>395555.9609</v>
      </c>
    </row>
    <row r="37">
      <c r="D37" s="3" t="s">
        <v>77</v>
      </c>
    </row>
    <row r="38">
      <c r="A38" s="2" t="s">
        <v>17</v>
      </c>
      <c r="B38" s="2" t="s">
        <v>61</v>
      </c>
      <c r="C38" s="2" t="s">
        <v>49</v>
      </c>
    </row>
    <row r="39">
      <c r="A39" s="1">
        <f>STDEV(C3:C32)</f>
        <v>418586.5265</v>
      </c>
      <c r="B39" s="1">
        <f>AVERAGE(C4:C33)</f>
        <v>49409548.37</v>
      </c>
      <c r="C39" s="2">
        <v>1.0</v>
      </c>
      <c r="F39" s="3"/>
    </row>
    <row r="40">
      <c r="A40" s="1">
        <f>STDEV(D3:D32)</f>
        <v>311883.5738</v>
      </c>
      <c r="B40" s="1">
        <f>AVERAGE(D4:D33)</f>
        <v>25050782.48</v>
      </c>
      <c r="C40" s="2">
        <v>2.0</v>
      </c>
    </row>
    <row r="41">
      <c r="A41" s="1">
        <f>STDEV(E3:E32)</f>
        <v>101733.6525</v>
      </c>
      <c r="B41" s="1">
        <f>AVERAGE(E4:E33)</f>
        <v>12165985.16</v>
      </c>
      <c r="C41" s="2">
        <v>4.0</v>
      </c>
    </row>
    <row r="42">
      <c r="A42" s="1">
        <f>STDEV(F3:F32)</f>
        <v>268911.1097</v>
      </c>
      <c r="B42" s="1">
        <f>AVERAGE(F4:F33)</f>
        <v>10679565.73</v>
      </c>
      <c r="C42" s="2">
        <v>8.0</v>
      </c>
    </row>
    <row r="43">
      <c r="A43" s="1">
        <f>STDEV(G3:G32)</f>
        <v>395555.9609</v>
      </c>
      <c r="B43" s="1">
        <f>AVERAGE(G4:G33)</f>
        <v>10919477.75</v>
      </c>
      <c r="C43" s="2">
        <v>12.0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75"/>
    <col customWidth="1" min="3" max="3" width="25.25"/>
    <col customWidth="1" min="4" max="4" width="24.5"/>
    <col customWidth="1" min="5" max="5" width="24.13"/>
    <col customWidth="1" min="6" max="6" width="24.25"/>
    <col customWidth="1" min="7" max="7" width="23.75"/>
  </cols>
  <sheetData>
    <row r="2">
      <c r="B2" s="1"/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</row>
    <row r="3">
      <c r="B3" s="4">
        <v>1.0</v>
      </c>
      <c r="C3" s="2">
        <v>8.7639676E7</v>
      </c>
      <c r="D3" s="2">
        <v>4.0963427E7</v>
      </c>
      <c r="E3" s="2">
        <v>2.0582707E7</v>
      </c>
      <c r="F3" s="2">
        <v>2.0033068E7</v>
      </c>
      <c r="G3" s="2">
        <v>2.066311E7</v>
      </c>
    </row>
    <row r="4">
      <c r="B4" s="4">
        <f t="shared" ref="B4:B32" si="1">B3+1</f>
        <v>2</v>
      </c>
      <c r="C4" s="2">
        <v>8.0764148E7</v>
      </c>
      <c r="D4" s="2">
        <v>4.0854716E7</v>
      </c>
      <c r="E4" s="2">
        <v>2.0660774E7</v>
      </c>
      <c r="F4" s="2">
        <v>2.0950834E7</v>
      </c>
      <c r="G4" s="2">
        <v>1.9984034E7</v>
      </c>
    </row>
    <row r="5">
      <c r="B5" s="4">
        <f t="shared" si="1"/>
        <v>3</v>
      </c>
      <c r="C5" s="2">
        <v>8.0790135E7</v>
      </c>
      <c r="D5" s="2">
        <v>4.0963824E7</v>
      </c>
      <c r="E5" s="2">
        <v>2.1085702E7</v>
      </c>
      <c r="F5" s="2">
        <v>2.009014E7</v>
      </c>
      <c r="G5" s="2">
        <v>2.0446438E7</v>
      </c>
    </row>
    <row r="6">
      <c r="B6" s="4">
        <f t="shared" si="1"/>
        <v>4</v>
      </c>
      <c r="C6" s="2">
        <v>8.3312534E7</v>
      </c>
      <c r="D6" s="2">
        <v>4.1263582E7</v>
      </c>
      <c r="E6" s="2">
        <v>2.0668354E7</v>
      </c>
      <c r="F6" s="2">
        <v>2.0036848E7</v>
      </c>
      <c r="G6" s="2">
        <v>2.0160724E7</v>
      </c>
    </row>
    <row r="7">
      <c r="B7" s="4">
        <f t="shared" si="1"/>
        <v>5</v>
      </c>
      <c r="C7" s="2">
        <v>8.3021099E7</v>
      </c>
      <c r="D7" s="2">
        <v>4.1985577E7</v>
      </c>
      <c r="E7" s="2">
        <v>2.1094509E7</v>
      </c>
      <c r="F7" s="2">
        <v>1.9948791E7</v>
      </c>
      <c r="G7" s="2">
        <v>2.0664139E7</v>
      </c>
    </row>
    <row r="8">
      <c r="B8" s="4">
        <f t="shared" si="1"/>
        <v>6</v>
      </c>
      <c r="C8" s="2">
        <v>8.352958E7</v>
      </c>
      <c r="D8" s="2">
        <v>4.2312248E7</v>
      </c>
      <c r="E8" s="2">
        <v>2.1237765E7</v>
      </c>
      <c r="F8" s="2">
        <v>2.0635967E7</v>
      </c>
      <c r="G8" s="2">
        <v>2.1685031E7</v>
      </c>
    </row>
    <row r="9">
      <c r="B9" s="4">
        <f t="shared" si="1"/>
        <v>7</v>
      </c>
      <c r="C9" s="2">
        <v>8.4130387E7</v>
      </c>
      <c r="D9" s="2">
        <v>4.1432068E7</v>
      </c>
      <c r="E9" s="2">
        <v>2.1107991E7</v>
      </c>
      <c r="F9" s="2">
        <v>1.9941432E7</v>
      </c>
      <c r="G9" s="2">
        <v>2.0539518E7</v>
      </c>
    </row>
    <row r="10">
      <c r="B10" s="4">
        <f t="shared" si="1"/>
        <v>8</v>
      </c>
      <c r="C10" s="2">
        <v>8.2123501E7</v>
      </c>
      <c r="D10" s="2">
        <v>4.1563634E7</v>
      </c>
      <c r="E10" s="2">
        <v>2.2201905E7</v>
      </c>
      <c r="F10" s="2">
        <v>1.9961139E7</v>
      </c>
      <c r="G10" s="2">
        <v>2.045674E7</v>
      </c>
    </row>
    <row r="11">
      <c r="B11" s="4">
        <f t="shared" si="1"/>
        <v>9</v>
      </c>
      <c r="C11" s="2">
        <v>7.9807713E7</v>
      </c>
      <c r="D11" s="2">
        <v>4.2259287E7</v>
      </c>
      <c r="E11" s="2">
        <v>2.0784563E7</v>
      </c>
      <c r="F11" s="2">
        <v>2.0395863E7</v>
      </c>
      <c r="G11" s="2">
        <v>2.0703187E7</v>
      </c>
    </row>
    <row r="12">
      <c r="B12" s="4">
        <f t="shared" si="1"/>
        <v>10</v>
      </c>
      <c r="C12" s="2">
        <v>8.0426622E7</v>
      </c>
      <c r="D12" s="2">
        <v>4.1803444E7</v>
      </c>
      <c r="E12" s="2">
        <v>2.0986639E7</v>
      </c>
      <c r="F12" s="2">
        <v>1.9759281E7</v>
      </c>
      <c r="G12" s="2">
        <v>2.05748E7</v>
      </c>
    </row>
    <row r="13">
      <c r="B13" s="4">
        <f t="shared" si="1"/>
        <v>11</v>
      </c>
      <c r="C13" s="2">
        <v>8.0520425E7</v>
      </c>
      <c r="D13" s="2">
        <v>4.2236788E7</v>
      </c>
      <c r="E13" s="2">
        <v>2.1251897E7</v>
      </c>
      <c r="F13" s="2">
        <v>2.0445893E7</v>
      </c>
      <c r="G13" s="2">
        <v>2.0848982E7</v>
      </c>
    </row>
    <row r="14">
      <c r="B14" s="4">
        <f t="shared" si="1"/>
        <v>12</v>
      </c>
      <c r="C14" s="2">
        <v>8.2364557E7</v>
      </c>
      <c r="D14" s="2">
        <v>4.2645035E7</v>
      </c>
      <c r="E14" s="2">
        <v>2.1013695E7</v>
      </c>
      <c r="F14" s="2">
        <v>2.0578037E7</v>
      </c>
      <c r="G14" s="2">
        <v>2.0638705E7</v>
      </c>
    </row>
    <row r="15">
      <c r="B15" s="4">
        <f t="shared" si="1"/>
        <v>13</v>
      </c>
      <c r="C15" s="2">
        <v>8.2108307E7</v>
      </c>
      <c r="D15" s="2">
        <v>4.2698258E7</v>
      </c>
      <c r="E15" s="2">
        <v>2.1225798E7</v>
      </c>
      <c r="F15" s="2">
        <v>1.995562E7</v>
      </c>
      <c r="G15" s="2">
        <v>2.1750952E7</v>
      </c>
    </row>
    <row r="16">
      <c r="B16" s="4">
        <f t="shared" si="1"/>
        <v>14</v>
      </c>
      <c r="C16" s="2">
        <v>8.3220251E7</v>
      </c>
      <c r="D16" s="2">
        <v>4.1602873E7</v>
      </c>
      <c r="E16" s="2">
        <v>2.1112583E7</v>
      </c>
      <c r="F16" s="2">
        <v>2.0792566E7</v>
      </c>
      <c r="G16" s="2">
        <v>2.0302291E7</v>
      </c>
    </row>
    <row r="17">
      <c r="B17" s="4">
        <f t="shared" si="1"/>
        <v>15</v>
      </c>
      <c r="C17" s="2">
        <v>8.2404861E7</v>
      </c>
      <c r="D17" s="2">
        <v>4.1768938E7</v>
      </c>
      <c r="E17" s="2">
        <v>2.1152058E7</v>
      </c>
      <c r="F17" s="2">
        <v>2.0093108E7</v>
      </c>
      <c r="G17" s="2">
        <v>2.0638538E7</v>
      </c>
    </row>
    <row r="18">
      <c r="B18" s="4">
        <f t="shared" si="1"/>
        <v>16</v>
      </c>
      <c r="C18" s="2">
        <v>7.8995501E7</v>
      </c>
      <c r="D18" s="2">
        <v>4.1491971E7</v>
      </c>
      <c r="E18" s="2">
        <v>2.1467798E7</v>
      </c>
      <c r="F18" s="2">
        <v>1.9936192E7</v>
      </c>
      <c r="G18" s="2">
        <v>2.0467524E7</v>
      </c>
    </row>
    <row r="19">
      <c r="B19" s="4">
        <f t="shared" si="1"/>
        <v>17</v>
      </c>
      <c r="C19" s="2">
        <v>8.0260631E7</v>
      </c>
      <c r="D19" s="2">
        <v>4.1671232E7</v>
      </c>
      <c r="E19" s="2">
        <v>2.1374648E7</v>
      </c>
      <c r="F19" s="2">
        <v>2.0551835E7</v>
      </c>
      <c r="G19" s="2">
        <v>2.0261217E7</v>
      </c>
    </row>
    <row r="20">
      <c r="B20" s="4">
        <f t="shared" si="1"/>
        <v>18</v>
      </c>
      <c r="C20" s="2">
        <v>8.030919E7</v>
      </c>
      <c r="D20" s="2">
        <v>4.2313979E7</v>
      </c>
      <c r="E20" s="2">
        <v>2.1246263E7</v>
      </c>
      <c r="F20" s="2">
        <v>2.0157277E7</v>
      </c>
      <c r="G20" s="2">
        <v>2.1142226E7</v>
      </c>
    </row>
    <row r="21">
      <c r="B21" s="4">
        <f t="shared" si="1"/>
        <v>19</v>
      </c>
      <c r="C21" s="2">
        <v>8.0850695E7</v>
      </c>
      <c r="D21" s="2">
        <v>4.1663779E7</v>
      </c>
      <c r="E21" s="2">
        <v>2.1186598E7</v>
      </c>
      <c r="F21" s="2">
        <v>2.0963062E7</v>
      </c>
      <c r="G21" s="2">
        <v>2.1081908E7</v>
      </c>
    </row>
    <row r="22">
      <c r="B22" s="4">
        <f t="shared" si="1"/>
        <v>20</v>
      </c>
      <c r="C22" s="2">
        <v>8.1163725E7</v>
      </c>
      <c r="D22" s="2">
        <v>4.2585342E7</v>
      </c>
      <c r="E22" s="2">
        <v>2.1235327E7</v>
      </c>
      <c r="F22" s="2">
        <v>2.1182342E7</v>
      </c>
      <c r="G22" s="2">
        <v>2.1001626E7</v>
      </c>
    </row>
    <row r="23">
      <c r="B23" s="4">
        <f t="shared" si="1"/>
        <v>21</v>
      </c>
      <c r="C23" s="2">
        <v>8.1682827E7</v>
      </c>
      <c r="D23" s="2">
        <v>4.1955655E7</v>
      </c>
      <c r="E23" s="2">
        <v>2.288299E7</v>
      </c>
      <c r="F23" s="2">
        <v>2.0877111E7</v>
      </c>
      <c r="G23" s="2">
        <v>2.1309586E7</v>
      </c>
    </row>
    <row r="24">
      <c r="B24" s="4">
        <f t="shared" si="1"/>
        <v>22</v>
      </c>
      <c r="C24" s="2">
        <v>8.2108763E7</v>
      </c>
      <c r="D24" s="2">
        <v>4.2355687E7</v>
      </c>
      <c r="E24" s="2">
        <v>2.1602553E7</v>
      </c>
      <c r="F24" s="2">
        <v>2.0586596E7</v>
      </c>
      <c r="G24" s="2">
        <v>2.1659662E7</v>
      </c>
    </row>
    <row r="25">
      <c r="B25" s="4">
        <f t="shared" si="1"/>
        <v>23</v>
      </c>
      <c r="C25" s="2">
        <v>8.2652979E7</v>
      </c>
      <c r="D25" s="2">
        <v>4.2529104E7</v>
      </c>
      <c r="E25" s="2">
        <v>2.2397127E7</v>
      </c>
      <c r="F25" s="2">
        <v>2.0352418E7</v>
      </c>
      <c r="G25" s="2">
        <v>2.1404848E7</v>
      </c>
    </row>
    <row r="26">
      <c r="B26" s="4">
        <f t="shared" si="1"/>
        <v>24</v>
      </c>
      <c r="C26" s="2">
        <v>8.2486029E7</v>
      </c>
      <c r="D26" s="2">
        <v>4.2923461E7</v>
      </c>
      <c r="E26" s="2">
        <v>2.1316125E7</v>
      </c>
      <c r="F26" s="2">
        <v>2.0282023E7</v>
      </c>
      <c r="G26" s="2">
        <v>2.0952051E7</v>
      </c>
    </row>
    <row r="27">
      <c r="B27" s="4">
        <f t="shared" si="1"/>
        <v>25</v>
      </c>
      <c r="C27" s="2">
        <v>8.2883942E7</v>
      </c>
      <c r="D27" s="2">
        <v>4.2910843E7</v>
      </c>
      <c r="E27" s="2">
        <v>2.1697981E7</v>
      </c>
      <c r="F27" s="2">
        <v>2.0632571E7</v>
      </c>
      <c r="G27" s="2">
        <v>1.9619364E7</v>
      </c>
    </row>
    <row r="28">
      <c r="B28" s="4">
        <f t="shared" si="1"/>
        <v>26</v>
      </c>
      <c r="C28" s="2">
        <v>8.2560224E7</v>
      </c>
      <c r="D28" s="2">
        <v>4.2607532E7</v>
      </c>
      <c r="E28" s="2">
        <v>2.1569513E7</v>
      </c>
      <c r="F28" s="2">
        <v>2.0561607E7</v>
      </c>
      <c r="G28" s="2">
        <v>1.9488861E7</v>
      </c>
    </row>
    <row r="29">
      <c r="B29" s="4">
        <f t="shared" si="1"/>
        <v>27</v>
      </c>
      <c r="C29" s="2">
        <v>8.2670445E7</v>
      </c>
      <c r="D29" s="2">
        <v>4.2472514E7</v>
      </c>
      <c r="E29" s="2">
        <v>2.109238E7</v>
      </c>
      <c r="F29" s="2">
        <v>1.9605816E7</v>
      </c>
      <c r="G29" s="2">
        <v>1.9497634E7</v>
      </c>
    </row>
    <row r="30">
      <c r="B30" s="4">
        <f t="shared" si="1"/>
        <v>28</v>
      </c>
      <c r="C30" s="2">
        <v>8.3827192E7</v>
      </c>
      <c r="D30" s="2">
        <v>4.3763542E7</v>
      </c>
      <c r="E30" s="2">
        <v>2.0690048E7</v>
      </c>
      <c r="F30" s="2">
        <v>2.0438517E7</v>
      </c>
      <c r="G30" s="2">
        <v>1.9965563E7</v>
      </c>
    </row>
    <row r="31">
      <c r="B31" s="4">
        <f t="shared" si="1"/>
        <v>29</v>
      </c>
      <c r="C31" s="2">
        <v>8.3431696E7</v>
      </c>
      <c r="D31" s="2">
        <v>4.3974916E7</v>
      </c>
      <c r="E31" s="2">
        <v>2.0574574E7</v>
      </c>
      <c r="F31" s="2">
        <v>2.0254359E7</v>
      </c>
      <c r="G31" s="2">
        <v>1.9533181E7</v>
      </c>
    </row>
    <row r="32">
      <c r="B32" s="4">
        <f t="shared" si="1"/>
        <v>30</v>
      </c>
      <c r="C32" s="2">
        <v>8.2755517E7</v>
      </c>
      <c r="D32" s="2">
        <v>4.2559595E7</v>
      </c>
      <c r="E32" s="2">
        <v>2.12532E7</v>
      </c>
      <c r="F32" s="2">
        <v>2.0508487E7</v>
      </c>
      <c r="G32" s="2">
        <v>2.0135225E7</v>
      </c>
    </row>
    <row r="33">
      <c r="B33" s="2" t="s">
        <v>15</v>
      </c>
      <c r="C33" s="1">
        <f t="shared" ref="C33:G33" si="2">AVERAGE(C3:C32)</f>
        <v>82160105.07</v>
      </c>
      <c r="D33" s="1">
        <f t="shared" si="2"/>
        <v>42137761.7</v>
      </c>
      <c r="E33" s="1">
        <f t="shared" si="2"/>
        <v>21258468.83</v>
      </c>
      <c r="F33" s="1">
        <f t="shared" si="2"/>
        <v>20350293.33</v>
      </c>
      <c r="G33" s="1">
        <f t="shared" si="2"/>
        <v>20585922.17</v>
      </c>
    </row>
    <row r="34">
      <c r="B34" s="2" t="s">
        <v>16</v>
      </c>
      <c r="C34" s="1">
        <f t="shared" ref="C34:G34" si="3">STDEV(C3:C32)</f>
        <v>1662628.005</v>
      </c>
      <c r="D34" s="1">
        <f t="shared" si="3"/>
        <v>748499.261</v>
      </c>
      <c r="E34" s="1">
        <f t="shared" si="3"/>
        <v>517052.5137</v>
      </c>
      <c r="F34" s="1">
        <f t="shared" si="3"/>
        <v>389265.6491</v>
      </c>
      <c r="G34" s="1">
        <f t="shared" si="3"/>
        <v>634504.0674</v>
      </c>
    </row>
    <row r="37">
      <c r="A37" s="2" t="s">
        <v>17</v>
      </c>
      <c r="B37" s="2" t="s">
        <v>61</v>
      </c>
      <c r="C37" s="2" t="s">
        <v>49</v>
      </c>
    </row>
    <row r="38">
      <c r="A38" s="1">
        <f>STDEV(C3:C32)</f>
        <v>1662628.005</v>
      </c>
      <c r="B38" s="2">
        <f>AVERAGE(C3:C32)</f>
        <v>82160105.07</v>
      </c>
      <c r="C38" s="2">
        <v>1.0</v>
      </c>
    </row>
    <row r="39">
      <c r="A39" s="1">
        <f>STDEV(D3:D32)</f>
        <v>748499.261</v>
      </c>
      <c r="B39" s="1">
        <f>AVERAGE(D3:D32)</f>
        <v>42137761.7</v>
      </c>
      <c r="C39" s="2">
        <v>2.0</v>
      </c>
    </row>
    <row r="40">
      <c r="A40" s="1">
        <f>STDEV(E3:E32)</f>
        <v>517052.5137</v>
      </c>
      <c r="B40" s="1">
        <f>AVERAGE(E3:E32)</f>
        <v>21258468.83</v>
      </c>
      <c r="C40" s="2">
        <v>4.0</v>
      </c>
    </row>
    <row r="41">
      <c r="A41" s="1">
        <f>STDEV(F3:F32)</f>
        <v>389265.6491</v>
      </c>
      <c r="B41" s="1">
        <f>AVERAGE(F3:F32)</f>
        <v>20350293.33</v>
      </c>
      <c r="C41" s="2">
        <v>8.0</v>
      </c>
    </row>
    <row r="42">
      <c r="A42" s="1">
        <f>STDEV(G3:G32)</f>
        <v>634504.0674</v>
      </c>
      <c r="B42" s="1">
        <f>AVERAGE(G3:G32)</f>
        <v>20585922.17</v>
      </c>
      <c r="C42" s="2">
        <v>12.0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13"/>
    <col customWidth="1" min="3" max="3" width="24.88"/>
    <col customWidth="1" min="4" max="4" width="24.25"/>
    <col customWidth="1" min="5" max="5" width="24.63"/>
    <col customWidth="1" min="6" max="6" width="25.0"/>
    <col customWidth="1" min="7" max="7" width="25.38"/>
  </cols>
  <sheetData>
    <row r="2">
      <c r="B2" s="1"/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</row>
    <row r="3">
      <c r="B3" s="4">
        <v>1.0</v>
      </c>
      <c r="C3" s="2">
        <v>169429.0</v>
      </c>
      <c r="D3" s="2">
        <v>120726.0</v>
      </c>
      <c r="E3" s="2">
        <v>74979.0</v>
      </c>
      <c r="F3" s="2">
        <v>71701.0</v>
      </c>
      <c r="G3" s="2">
        <v>64336.0</v>
      </c>
    </row>
    <row r="4">
      <c r="B4" s="4">
        <f t="shared" ref="B4:B32" si="1">B3+1</f>
        <v>2</v>
      </c>
      <c r="C4" s="2">
        <v>187389.0</v>
      </c>
      <c r="D4" s="2">
        <v>105815.0</v>
      </c>
      <c r="E4" s="2">
        <v>81972.0</v>
      </c>
      <c r="F4" s="2">
        <v>64367.0</v>
      </c>
      <c r="G4" s="2">
        <v>63378.0</v>
      </c>
    </row>
    <row r="5">
      <c r="B5" s="4">
        <f t="shared" si="1"/>
        <v>3</v>
      </c>
      <c r="C5" s="2">
        <v>178839.0</v>
      </c>
      <c r="D5" s="2">
        <v>139643.0</v>
      </c>
      <c r="E5" s="2">
        <v>82069.0</v>
      </c>
      <c r="F5" s="2">
        <v>70072.0</v>
      </c>
      <c r="G5" s="2">
        <v>72452.0</v>
      </c>
    </row>
    <row r="6">
      <c r="B6" s="4">
        <f t="shared" si="1"/>
        <v>4</v>
      </c>
      <c r="C6" s="2">
        <v>165692.0</v>
      </c>
      <c r="D6" s="2">
        <v>111884.0</v>
      </c>
      <c r="E6" s="2">
        <v>75584.0</v>
      </c>
      <c r="F6" s="2">
        <v>71913.0</v>
      </c>
      <c r="G6" s="2">
        <v>66613.0</v>
      </c>
    </row>
    <row r="7">
      <c r="B7" s="4">
        <f t="shared" si="1"/>
        <v>5</v>
      </c>
      <c r="C7" s="2">
        <v>174905.0</v>
      </c>
      <c r="D7" s="2">
        <v>129433.0</v>
      </c>
      <c r="E7" s="2">
        <v>74085.0</v>
      </c>
      <c r="F7" s="2">
        <v>71110.0</v>
      </c>
      <c r="G7" s="2">
        <v>70776.0</v>
      </c>
    </row>
    <row r="8">
      <c r="B8" s="4">
        <f t="shared" si="1"/>
        <v>6</v>
      </c>
      <c r="C8" s="2">
        <v>179499.0</v>
      </c>
      <c r="D8" s="2">
        <v>112726.0</v>
      </c>
      <c r="E8" s="2">
        <v>72044.0</v>
      </c>
      <c r="F8" s="2">
        <v>69629.0</v>
      </c>
      <c r="G8" s="2">
        <v>63407.0</v>
      </c>
    </row>
    <row r="9">
      <c r="B9" s="4">
        <f t="shared" si="1"/>
        <v>7</v>
      </c>
      <c r="C9" s="2">
        <v>169244.0</v>
      </c>
      <c r="D9" s="2">
        <v>118281.0</v>
      </c>
      <c r="E9" s="2">
        <v>72916.0</v>
      </c>
      <c r="F9" s="2">
        <v>77323.0</v>
      </c>
      <c r="G9" s="2">
        <v>66593.0</v>
      </c>
    </row>
    <row r="10">
      <c r="B10" s="4">
        <f t="shared" si="1"/>
        <v>8</v>
      </c>
      <c r="C10" s="2">
        <v>193000.0</v>
      </c>
      <c r="D10" s="2">
        <v>117630.0</v>
      </c>
      <c r="E10" s="2">
        <v>73368.0</v>
      </c>
      <c r="F10" s="2">
        <v>69298.0</v>
      </c>
      <c r="G10" s="2">
        <v>75049.0</v>
      </c>
    </row>
    <row r="11">
      <c r="B11" s="4">
        <f t="shared" si="1"/>
        <v>9</v>
      </c>
      <c r="C11" s="2">
        <v>228409.0</v>
      </c>
      <c r="D11" s="2">
        <v>117709.0</v>
      </c>
      <c r="E11" s="2">
        <v>80529.0</v>
      </c>
      <c r="F11" s="2">
        <v>70432.0</v>
      </c>
      <c r="G11" s="2">
        <v>68380.0</v>
      </c>
    </row>
    <row r="12">
      <c r="B12" s="4">
        <f t="shared" si="1"/>
        <v>10</v>
      </c>
      <c r="C12" s="2">
        <v>176200.0</v>
      </c>
      <c r="D12" s="2">
        <v>118465.0</v>
      </c>
      <c r="E12" s="2">
        <v>72317.0</v>
      </c>
      <c r="F12" s="2">
        <v>72732.0</v>
      </c>
      <c r="G12" s="2">
        <v>65970.0</v>
      </c>
    </row>
    <row r="13">
      <c r="B13" s="4">
        <f t="shared" si="1"/>
        <v>11</v>
      </c>
      <c r="C13" s="2">
        <v>170333.0</v>
      </c>
      <c r="D13" s="2">
        <v>118466.0</v>
      </c>
      <c r="E13" s="2">
        <v>89761.0</v>
      </c>
      <c r="F13" s="2">
        <v>64324.0</v>
      </c>
      <c r="G13" s="2">
        <v>63279.0</v>
      </c>
    </row>
    <row r="14">
      <c r="B14" s="4">
        <f t="shared" si="1"/>
        <v>12</v>
      </c>
      <c r="C14" s="2">
        <v>174844.0</v>
      </c>
      <c r="D14" s="2">
        <v>117442.0</v>
      </c>
      <c r="E14" s="2">
        <v>72191.0</v>
      </c>
      <c r="F14" s="2">
        <v>68431.0</v>
      </c>
      <c r="G14" s="2">
        <v>67487.0</v>
      </c>
    </row>
    <row r="15">
      <c r="B15" s="4">
        <f t="shared" si="1"/>
        <v>13</v>
      </c>
      <c r="C15" s="2">
        <v>200436.0</v>
      </c>
      <c r="D15" s="2">
        <v>116455.0</v>
      </c>
      <c r="E15" s="2">
        <v>77090.0</v>
      </c>
      <c r="F15" s="2">
        <v>75160.0</v>
      </c>
      <c r="G15" s="2">
        <v>72778.0</v>
      </c>
    </row>
    <row r="16">
      <c r="B16" s="4">
        <f t="shared" si="1"/>
        <v>14</v>
      </c>
      <c r="C16" s="2">
        <v>183714.0</v>
      </c>
      <c r="D16" s="2">
        <v>123475.0</v>
      </c>
      <c r="E16" s="2">
        <v>79159.0</v>
      </c>
      <c r="F16" s="2">
        <v>71086.0</v>
      </c>
      <c r="G16" s="2">
        <v>65736.0</v>
      </c>
    </row>
    <row r="17">
      <c r="B17" s="4">
        <f t="shared" si="1"/>
        <v>15</v>
      </c>
      <c r="C17" s="2">
        <v>170449.0</v>
      </c>
      <c r="D17" s="2">
        <v>128176.0</v>
      </c>
      <c r="E17" s="2">
        <v>72501.0</v>
      </c>
      <c r="F17" s="2">
        <v>67748.0</v>
      </c>
      <c r="G17" s="2">
        <v>62918.0</v>
      </c>
    </row>
    <row r="18">
      <c r="B18" s="4">
        <f t="shared" si="1"/>
        <v>16</v>
      </c>
      <c r="C18" s="2">
        <v>159819.0</v>
      </c>
      <c r="D18" s="2">
        <v>117313.0</v>
      </c>
      <c r="E18" s="2">
        <v>69806.0</v>
      </c>
      <c r="F18" s="2">
        <v>65743.0</v>
      </c>
      <c r="G18" s="2">
        <v>59622.0</v>
      </c>
    </row>
    <row r="19">
      <c r="B19" s="4">
        <f t="shared" si="1"/>
        <v>17</v>
      </c>
      <c r="C19" s="2">
        <v>141063.0</v>
      </c>
      <c r="D19" s="2">
        <v>114028.0</v>
      </c>
      <c r="E19" s="2">
        <v>70600.0</v>
      </c>
      <c r="F19" s="2">
        <v>64319.0</v>
      </c>
      <c r="G19" s="2">
        <v>67118.0</v>
      </c>
    </row>
    <row r="20">
      <c r="B20" s="4">
        <f t="shared" si="1"/>
        <v>18</v>
      </c>
      <c r="C20" s="2">
        <v>143640.0</v>
      </c>
      <c r="D20" s="2">
        <v>106887.0</v>
      </c>
      <c r="E20" s="2">
        <v>69484.0</v>
      </c>
      <c r="F20" s="2">
        <v>63775.0</v>
      </c>
      <c r="G20" s="2">
        <v>62291.0</v>
      </c>
    </row>
    <row r="21">
      <c r="B21" s="4">
        <f t="shared" si="1"/>
        <v>19</v>
      </c>
      <c r="C21" s="2">
        <v>164762.0</v>
      </c>
      <c r="D21" s="2">
        <v>118179.0</v>
      </c>
      <c r="E21" s="2">
        <v>68208.0</v>
      </c>
      <c r="F21" s="2">
        <v>70197.0</v>
      </c>
      <c r="G21" s="2">
        <v>69334.0</v>
      </c>
    </row>
    <row r="22">
      <c r="B22" s="4">
        <f t="shared" si="1"/>
        <v>20</v>
      </c>
      <c r="C22" s="2">
        <v>167939.0</v>
      </c>
      <c r="D22" s="2">
        <v>116398.0</v>
      </c>
      <c r="E22" s="2">
        <v>72995.0</v>
      </c>
      <c r="F22" s="2">
        <v>66501.0</v>
      </c>
      <c r="G22" s="2">
        <v>65435.0</v>
      </c>
    </row>
    <row r="23">
      <c r="B23" s="4">
        <f t="shared" si="1"/>
        <v>21</v>
      </c>
      <c r="C23" s="2">
        <v>144799.0</v>
      </c>
      <c r="D23" s="2">
        <v>116971.0</v>
      </c>
      <c r="E23" s="2">
        <v>69519.0</v>
      </c>
      <c r="F23" s="2">
        <v>69251.0</v>
      </c>
      <c r="G23" s="2">
        <v>59198.0</v>
      </c>
    </row>
    <row r="24">
      <c r="B24" s="4">
        <f t="shared" si="1"/>
        <v>22</v>
      </c>
      <c r="C24" s="2">
        <v>143838.0</v>
      </c>
      <c r="D24" s="2">
        <v>146692.0</v>
      </c>
      <c r="E24" s="2">
        <v>73434.0</v>
      </c>
      <c r="F24" s="2">
        <v>67265.0</v>
      </c>
      <c r="G24" s="2">
        <v>63872.0</v>
      </c>
    </row>
    <row r="25">
      <c r="B25" s="4">
        <f t="shared" si="1"/>
        <v>23</v>
      </c>
      <c r="C25" s="2">
        <v>212532.0</v>
      </c>
      <c r="D25" s="2">
        <v>102126.0</v>
      </c>
      <c r="E25" s="2">
        <v>71556.0</v>
      </c>
      <c r="F25" s="2">
        <v>65597.0</v>
      </c>
      <c r="G25" s="2">
        <v>68569.0</v>
      </c>
    </row>
    <row r="26">
      <c r="B26" s="4">
        <f t="shared" si="1"/>
        <v>24</v>
      </c>
      <c r="C26" s="2">
        <v>165813.0</v>
      </c>
      <c r="D26" s="2">
        <v>124519.0</v>
      </c>
      <c r="E26" s="2">
        <v>75974.0</v>
      </c>
      <c r="F26" s="2">
        <v>77795.0</v>
      </c>
      <c r="G26" s="2">
        <v>65002.0</v>
      </c>
    </row>
    <row r="27">
      <c r="B27" s="4">
        <f t="shared" si="1"/>
        <v>25</v>
      </c>
      <c r="C27" s="2">
        <v>209615.0</v>
      </c>
      <c r="D27" s="2">
        <v>123583.0</v>
      </c>
      <c r="E27" s="2">
        <v>126359.0</v>
      </c>
      <c r="F27" s="2">
        <v>66801.0</v>
      </c>
      <c r="G27" s="2">
        <v>68558.0</v>
      </c>
    </row>
    <row r="28">
      <c r="B28" s="4">
        <f t="shared" si="1"/>
        <v>26</v>
      </c>
      <c r="C28" s="2">
        <v>168502.0</v>
      </c>
      <c r="D28" s="2">
        <v>121029.0</v>
      </c>
      <c r="E28" s="2">
        <v>82801.0</v>
      </c>
      <c r="F28" s="2">
        <v>66330.0</v>
      </c>
      <c r="G28" s="2">
        <v>71186.0</v>
      </c>
    </row>
    <row r="29">
      <c r="B29" s="4">
        <f t="shared" si="1"/>
        <v>27</v>
      </c>
      <c r="C29" s="2">
        <v>165593.0</v>
      </c>
      <c r="D29" s="2">
        <v>100424.0</v>
      </c>
      <c r="E29" s="2">
        <v>72892.0</v>
      </c>
      <c r="F29" s="2">
        <v>70784.0</v>
      </c>
      <c r="G29" s="2">
        <v>72711.0</v>
      </c>
    </row>
    <row r="30">
      <c r="B30" s="4">
        <f t="shared" si="1"/>
        <v>28</v>
      </c>
      <c r="C30" s="2">
        <v>133582.0</v>
      </c>
      <c r="D30" s="2">
        <v>120885.0</v>
      </c>
      <c r="E30" s="2">
        <v>72671.0</v>
      </c>
      <c r="F30" s="2">
        <v>106501.0</v>
      </c>
      <c r="G30" s="2">
        <v>67775.0</v>
      </c>
    </row>
    <row r="31">
      <c r="B31" s="4">
        <f t="shared" si="1"/>
        <v>29</v>
      </c>
      <c r="C31" s="2">
        <v>133889.0</v>
      </c>
      <c r="D31" s="2">
        <v>115032.0</v>
      </c>
      <c r="E31" s="2">
        <v>73119.0</v>
      </c>
      <c r="F31" s="2">
        <v>64646.0</v>
      </c>
      <c r="G31" s="2">
        <v>66496.0</v>
      </c>
    </row>
    <row r="32">
      <c r="B32" s="4">
        <f t="shared" si="1"/>
        <v>30</v>
      </c>
      <c r="C32" s="2">
        <v>136368.0</v>
      </c>
      <c r="D32" s="2">
        <v>114942.0</v>
      </c>
      <c r="E32" s="2">
        <v>74846.0</v>
      </c>
      <c r="F32" s="2">
        <v>66726.0</v>
      </c>
      <c r="G32" s="2">
        <v>67128.0</v>
      </c>
    </row>
    <row r="33">
      <c r="B33" s="2" t="s">
        <v>15</v>
      </c>
      <c r="C33" s="1">
        <f t="shared" ref="C33:G33" si="2">AVERAGE(C3:C32)</f>
        <v>170471.2</v>
      </c>
      <c r="D33" s="1">
        <f t="shared" si="2"/>
        <v>118511.1333</v>
      </c>
      <c r="E33" s="1">
        <f t="shared" si="2"/>
        <v>76494.3</v>
      </c>
      <c r="F33" s="1">
        <f t="shared" si="2"/>
        <v>70251.9</v>
      </c>
      <c r="G33" s="1">
        <f t="shared" si="2"/>
        <v>66781.56667</v>
      </c>
    </row>
    <row r="34">
      <c r="B34" s="2" t="s">
        <v>16</v>
      </c>
      <c r="C34" s="1">
        <f t="shared" ref="C34:G34" si="3">STDEV(C3:C32)</f>
        <v>23334.76207</v>
      </c>
      <c r="D34" s="1">
        <f t="shared" si="3"/>
        <v>9443.554623</v>
      </c>
      <c r="E34" s="1">
        <f t="shared" si="3"/>
        <v>10544.19598</v>
      </c>
      <c r="F34" s="1">
        <f t="shared" si="3"/>
        <v>7774.232967</v>
      </c>
      <c r="G34" s="1">
        <f t="shared" si="3"/>
        <v>3826.128309</v>
      </c>
    </row>
    <row r="38">
      <c r="A38" s="2" t="s">
        <v>17</v>
      </c>
      <c r="B38" s="2" t="s">
        <v>61</v>
      </c>
      <c r="C38" s="2" t="s">
        <v>49</v>
      </c>
    </row>
    <row r="39">
      <c r="A39" s="1">
        <f>STDEV(C3:C32)</f>
        <v>23334.76207</v>
      </c>
      <c r="B39" s="2">
        <f>AVERAGE(C4:C33)</f>
        <v>170505.94</v>
      </c>
      <c r="C39" s="2">
        <v>1.0</v>
      </c>
    </row>
    <row r="40">
      <c r="A40" s="1">
        <f>STDEV(D3:D32)</f>
        <v>9443.554623</v>
      </c>
      <c r="B40" s="1">
        <f>AVERAGE(D4:D33)</f>
        <v>118437.3044</v>
      </c>
      <c r="C40" s="2">
        <v>2.0</v>
      </c>
    </row>
    <row r="41">
      <c r="A41" s="1">
        <f>STDEV(E3:E32)</f>
        <v>10544.19598</v>
      </c>
      <c r="B41" s="1">
        <f>AVERAGE(E4:E33)</f>
        <v>76544.81</v>
      </c>
      <c r="C41" s="2">
        <v>4.0</v>
      </c>
    </row>
    <row r="42">
      <c r="A42" s="1">
        <f>STDEV(F3:F32)</f>
        <v>7774.232967</v>
      </c>
      <c r="B42" s="1">
        <f>AVERAGE(F3:F32)</f>
        <v>70251.9</v>
      </c>
      <c r="C42" s="2">
        <v>8.0</v>
      </c>
    </row>
    <row r="43">
      <c r="A43" s="1">
        <f>STDEV(G3:G32)</f>
        <v>3826.128309</v>
      </c>
      <c r="B43" s="1">
        <f>AVERAGE(G4:G33)</f>
        <v>66863.08556</v>
      </c>
      <c r="C43" s="2">
        <v>12.0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25"/>
    <col customWidth="1" min="3" max="3" width="24.88"/>
    <col customWidth="1" min="4" max="4" width="24.25"/>
    <col customWidth="1" min="5" max="5" width="24.63"/>
    <col customWidth="1" min="6" max="6" width="25.0"/>
    <col customWidth="1" min="7" max="7" width="25.38"/>
  </cols>
  <sheetData>
    <row r="2">
      <c r="B2" s="1"/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</row>
    <row r="3">
      <c r="B3" s="4">
        <v>1.0</v>
      </c>
      <c r="C3" s="2">
        <v>434846.0</v>
      </c>
      <c r="D3" s="2">
        <v>271119.0</v>
      </c>
      <c r="E3" s="2">
        <v>169032.0</v>
      </c>
      <c r="F3" s="2">
        <v>159070.0</v>
      </c>
      <c r="G3" s="2">
        <v>145468.0</v>
      </c>
    </row>
    <row r="4">
      <c r="B4" s="4">
        <f t="shared" ref="B4:B32" si="1">B3+1</f>
        <v>2</v>
      </c>
      <c r="C4" s="2">
        <v>417335.0</v>
      </c>
      <c r="D4" s="2">
        <v>261820.0</v>
      </c>
      <c r="E4" s="2">
        <v>160271.0</v>
      </c>
      <c r="F4" s="2">
        <v>150068.0</v>
      </c>
      <c r="G4" s="2">
        <v>145189.0</v>
      </c>
    </row>
    <row r="5">
      <c r="B5" s="4">
        <f t="shared" si="1"/>
        <v>3</v>
      </c>
      <c r="C5" s="2">
        <v>429116.0</v>
      </c>
      <c r="D5" s="2">
        <v>418654.0</v>
      </c>
      <c r="E5" s="2">
        <v>159004.0</v>
      </c>
      <c r="F5" s="2">
        <v>150772.0</v>
      </c>
      <c r="G5" s="2">
        <v>153973.0</v>
      </c>
    </row>
    <row r="6">
      <c r="B6" s="4">
        <f t="shared" si="1"/>
        <v>4</v>
      </c>
      <c r="C6" s="2">
        <v>425810.0</v>
      </c>
      <c r="D6" s="2">
        <v>283566.0</v>
      </c>
      <c r="E6" s="2">
        <v>155971.0</v>
      </c>
      <c r="F6" s="2">
        <v>164248.0</v>
      </c>
      <c r="G6" s="2">
        <v>147795.0</v>
      </c>
    </row>
    <row r="7">
      <c r="B7" s="4">
        <f t="shared" si="1"/>
        <v>5</v>
      </c>
      <c r="C7" s="2">
        <v>481373.0</v>
      </c>
      <c r="D7" s="2">
        <v>304737.0</v>
      </c>
      <c r="E7" s="2">
        <v>162121.0</v>
      </c>
      <c r="F7" s="2">
        <v>151701.0</v>
      </c>
      <c r="G7" s="2">
        <v>146637.0</v>
      </c>
    </row>
    <row r="8">
      <c r="B8" s="4">
        <f t="shared" si="1"/>
        <v>6</v>
      </c>
      <c r="C8" s="2">
        <v>501589.0</v>
      </c>
      <c r="D8" s="2">
        <v>249992.0</v>
      </c>
      <c r="E8" s="2">
        <v>152913.0</v>
      </c>
      <c r="F8" s="2">
        <v>161849.0</v>
      </c>
      <c r="G8" s="2">
        <v>145148.0</v>
      </c>
    </row>
    <row r="9">
      <c r="B9" s="4">
        <f t="shared" si="1"/>
        <v>7</v>
      </c>
      <c r="C9" s="2">
        <v>490440.0</v>
      </c>
      <c r="D9" s="2">
        <v>270878.0</v>
      </c>
      <c r="E9" s="2">
        <v>187837.0</v>
      </c>
      <c r="F9" s="2">
        <v>172057.0</v>
      </c>
      <c r="G9" s="2">
        <v>151745.0</v>
      </c>
    </row>
    <row r="10">
      <c r="B10" s="4">
        <f t="shared" si="1"/>
        <v>8</v>
      </c>
      <c r="C10" s="2">
        <v>461374.0</v>
      </c>
      <c r="D10" s="2">
        <v>276697.0</v>
      </c>
      <c r="E10" s="2">
        <v>158529.0</v>
      </c>
      <c r="F10" s="2">
        <v>153492.0</v>
      </c>
      <c r="G10" s="2">
        <v>136769.0</v>
      </c>
    </row>
    <row r="11">
      <c r="B11" s="4">
        <f t="shared" si="1"/>
        <v>9</v>
      </c>
      <c r="C11" s="2">
        <v>455806.0</v>
      </c>
      <c r="D11" s="2">
        <v>280645.0</v>
      </c>
      <c r="E11" s="2">
        <v>156323.0</v>
      </c>
      <c r="F11" s="2">
        <v>147280.0</v>
      </c>
      <c r="G11" s="2">
        <v>162051.0</v>
      </c>
    </row>
    <row r="12">
      <c r="B12" s="4">
        <f t="shared" si="1"/>
        <v>10</v>
      </c>
      <c r="C12" s="2">
        <v>606694.0</v>
      </c>
      <c r="D12" s="2">
        <v>277895.0</v>
      </c>
      <c r="E12" s="2">
        <v>164786.0</v>
      </c>
      <c r="F12" s="2">
        <v>138354.0</v>
      </c>
      <c r="G12" s="2">
        <v>144627.0</v>
      </c>
    </row>
    <row r="13">
      <c r="B13" s="4">
        <f t="shared" si="1"/>
        <v>11</v>
      </c>
      <c r="C13" s="2">
        <v>468734.0</v>
      </c>
      <c r="D13" s="2">
        <v>381845.0</v>
      </c>
      <c r="E13" s="2">
        <v>148930.0</v>
      </c>
      <c r="F13" s="2">
        <v>156741.0</v>
      </c>
      <c r="G13" s="2">
        <v>151594.0</v>
      </c>
    </row>
    <row r="14">
      <c r="B14" s="4">
        <f t="shared" si="1"/>
        <v>12</v>
      </c>
      <c r="C14" s="2">
        <v>444474.0</v>
      </c>
      <c r="D14" s="2">
        <v>276305.0</v>
      </c>
      <c r="E14" s="2">
        <v>153802.0</v>
      </c>
      <c r="F14" s="2">
        <v>152595.0</v>
      </c>
      <c r="G14" s="2">
        <v>155439.0</v>
      </c>
    </row>
    <row r="15">
      <c r="B15" s="4">
        <f t="shared" si="1"/>
        <v>13</v>
      </c>
      <c r="C15" s="2">
        <v>471395.0</v>
      </c>
      <c r="D15" s="2">
        <v>253404.0</v>
      </c>
      <c r="E15" s="2">
        <v>163950.0</v>
      </c>
      <c r="F15" s="2">
        <v>149638.0</v>
      </c>
      <c r="G15" s="2">
        <v>153929.0</v>
      </c>
    </row>
    <row r="16">
      <c r="B16" s="4">
        <f t="shared" si="1"/>
        <v>14</v>
      </c>
      <c r="C16" s="2">
        <v>489481.0</v>
      </c>
      <c r="D16" s="2">
        <v>281967.0</v>
      </c>
      <c r="E16" s="2">
        <v>160358.0</v>
      </c>
      <c r="F16" s="2">
        <v>164351.0</v>
      </c>
      <c r="G16" s="2">
        <v>157986.0</v>
      </c>
    </row>
    <row r="17">
      <c r="B17" s="4">
        <f t="shared" si="1"/>
        <v>15</v>
      </c>
      <c r="C17" s="2">
        <v>489431.0</v>
      </c>
      <c r="D17" s="2">
        <v>259905.0</v>
      </c>
      <c r="E17" s="2">
        <v>154774.0</v>
      </c>
      <c r="F17" s="2">
        <v>152023.0</v>
      </c>
      <c r="G17" s="2">
        <v>146186.0</v>
      </c>
    </row>
    <row r="18">
      <c r="B18" s="4">
        <f t="shared" si="1"/>
        <v>16</v>
      </c>
      <c r="C18" s="2">
        <v>429887.0</v>
      </c>
      <c r="D18" s="2">
        <v>280503.0</v>
      </c>
      <c r="E18" s="2">
        <v>164652.0</v>
      </c>
      <c r="F18" s="2">
        <v>157233.0</v>
      </c>
      <c r="G18" s="2">
        <v>154474.0</v>
      </c>
    </row>
    <row r="19">
      <c r="B19" s="4">
        <f t="shared" si="1"/>
        <v>17</v>
      </c>
      <c r="C19" s="2">
        <v>464785.0</v>
      </c>
      <c r="D19" s="2">
        <v>296325.0</v>
      </c>
      <c r="E19" s="2">
        <v>163701.0</v>
      </c>
      <c r="F19" s="2">
        <v>147624.0</v>
      </c>
      <c r="G19" s="2">
        <v>162363.0</v>
      </c>
    </row>
    <row r="20">
      <c r="B20" s="4">
        <f t="shared" si="1"/>
        <v>18</v>
      </c>
      <c r="C20" s="2">
        <v>458728.0</v>
      </c>
      <c r="D20" s="2">
        <v>270635.0</v>
      </c>
      <c r="E20" s="2">
        <v>154199.0</v>
      </c>
      <c r="F20" s="2">
        <v>148588.0</v>
      </c>
      <c r="G20" s="2">
        <v>144292.0</v>
      </c>
    </row>
    <row r="21">
      <c r="B21" s="4">
        <f t="shared" si="1"/>
        <v>19</v>
      </c>
      <c r="C21" s="2">
        <v>459809.0</v>
      </c>
      <c r="D21" s="2">
        <v>278113.0</v>
      </c>
      <c r="E21" s="2">
        <v>187840.0</v>
      </c>
      <c r="F21" s="2">
        <v>155577.0</v>
      </c>
      <c r="G21" s="2">
        <v>149162.0</v>
      </c>
    </row>
    <row r="22">
      <c r="B22" s="4">
        <f t="shared" si="1"/>
        <v>20</v>
      </c>
      <c r="C22" s="2">
        <v>483044.0</v>
      </c>
      <c r="D22" s="2">
        <v>266613.0</v>
      </c>
      <c r="E22" s="2">
        <v>150849.0</v>
      </c>
      <c r="F22" s="2">
        <v>156055.0</v>
      </c>
      <c r="G22" s="2">
        <v>143514.0</v>
      </c>
    </row>
    <row r="23">
      <c r="B23" s="4">
        <f t="shared" si="1"/>
        <v>21</v>
      </c>
      <c r="C23" s="2">
        <v>461674.0</v>
      </c>
      <c r="D23" s="2">
        <v>339965.0</v>
      </c>
      <c r="E23" s="2">
        <v>153167.0</v>
      </c>
      <c r="F23" s="2">
        <v>152626.0</v>
      </c>
      <c r="G23" s="2">
        <v>155813.0</v>
      </c>
    </row>
    <row r="24">
      <c r="B24" s="4">
        <f t="shared" si="1"/>
        <v>22</v>
      </c>
      <c r="C24" s="2">
        <v>540936.0</v>
      </c>
      <c r="D24" s="2">
        <v>258557.0</v>
      </c>
      <c r="E24" s="2">
        <v>183478.0</v>
      </c>
      <c r="F24" s="2">
        <v>148022.0</v>
      </c>
      <c r="G24" s="2">
        <v>143563.0</v>
      </c>
    </row>
    <row r="25">
      <c r="B25" s="4">
        <f t="shared" si="1"/>
        <v>23</v>
      </c>
      <c r="C25" s="2">
        <v>647004.0</v>
      </c>
      <c r="D25" s="2">
        <v>294167.0</v>
      </c>
      <c r="E25" s="2">
        <v>153854.0</v>
      </c>
      <c r="F25" s="2">
        <v>153937.0</v>
      </c>
      <c r="G25" s="2">
        <v>146850.0</v>
      </c>
    </row>
    <row r="26">
      <c r="B26" s="4">
        <f t="shared" si="1"/>
        <v>24</v>
      </c>
      <c r="C26" s="2">
        <v>546294.0</v>
      </c>
      <c r="D26" s="2">
        <v>323411.0</v>
      </c>
      <c r="E26" s="2">
        <v>216021.0</v>
      </c>
      <c r="F26" s="2">
        <v>163008.0</v>
      </c>
      <c r="G26" s="2">
        <v>158637.0</v>
      </c>
    </row>
    <row r="27">
      <c r="B27" s="4">
        <f t="shared" si="1"/>
        <v>25</v>
      </c>
      <c r="C27" s="2">
        <v>504533.0</v>
      </c>
      <c r="D27" s="2">
        <v>238590.0</v>
      </c>
      <c r="E27" s="2">
        <v>159580.0</v>
      </c>
      <c r="F27" s="2">
        <v>152732.0</v>
      </c>
      <c r="G27" s="2">
        <v>157840.0</v>
      </c>
    </row>
    <row r="28">
      <c r="B28" s="4">
        <f t="shared" si="1"/>
        <v>26</v>
      </c>
      <c r="C28" s="2">
        <v>486726.0</v>
      </c>
      <c r="D28" s="2">
        <v>293717.0</v>
      </c>
      <c r="E28" s="2">
        <v>154265.0</v>
      </c>
      <c r="F28" s="2">
        <v>145088.0</v>
      </c>
      <c r="G28" s="2">
        <v>149136.0</v>
      </c>
    </row>
    <row r="29">
      <c r="B29" s="4">
        <f t="shared" si="1"/>
        <v>27</v>
      </c>
      <c r="C29" s="2">
        <v>456850.0</v>
      </c>
      <c r="D29" s="2">
        <v>266680.0</v>
      </c>
      <c r="E29" s="2">
        <v>154543.0</v>
      </c>
      <c r="F29" s="2">
        <v>157342.0</v>
      </c>
      <c r="G29" s="2">
        <v>158188.0</v>
      </c>
    </row>
    <row r="30">
      <c r="B30" s="4">
        <f t="shared" si="1"/>
        <v>28</v>
      </c>
      <c r="C30" s="2">
        <v>445147.0</v>
      </c>
      <c r="D30" s="2">
        <v>263691.0</v>
      </c>
      <c r="E30" s="2">
        <v>165015.0</v>
      </c>
      <c r="F30" s="2">
        <v>144905.0</v>
      </c>
      <c r="G30" s="2">
        <v>152615.0</v>
      </c>
    </row>
    <row r="31">
      <c r="B31" s="4">
        <f t="shared" si="1"/>
        <v>29</v>
      </c>
      <c r="C31" s="2">
        <v>489516.0</v>
      </c>
      <c r="D31" s="2">
        <v>260813.0</v>
      </c>
      <c r="E31" s="2">
        <v>171086.0</v>
      </c>
      <c r="F31" s="2">
        <v>157680.0</v>
      </c>
      <c r="G31" s="2">
        <v>140548.0</v>
      </c>
    </row>
    <row r="32">
      <c r="B32" s="4">
        <f t="shared" si="1"/>
        <v>30</v>
      </c>
      <c r="C32" s="2">
        <v>426089.0</v>
      </c>
      <c r="D32" s="2">
        <v>326508.0</v>
      </c>
      <c r="E32" s="2">
        <v>158013.0</v>
      </c>
      <c r="F32" s="2">
        <v>148483.0</v>
      </c>
      <c r="G32" s="2">
        <v>158286.0</v>
      </c>
    </row>
    <row r="33">
      <c r="B33" s="2" t="s">
        <v>15</v>
      </c>
      <c r="C33" s="1">
        <f t="shared" ref="C33:G33" si="2">AVERAGE(C3:C32)</f>
        <v>478964</v>
      </c>
      <c r="D33" s="1">
        <f t="shared" si="2"/>
        <v>286923.9</v>
      </c>
      <c r="E33" s="1">
        <f t="shared" si="2"/>
        <v>163295.4667</v>
      </c>
      <c r="F33" s="1">
        <f t="shared" si="2"/>
        <v>153771.3</v>
      </c>
      <c r="G33" s="1">
        <f t="shared" si="2"/>
        <v>150660.5667</v>
      </c>
    </row>
    <row r="34">
      <c r="B34" s="2" t="s">
        <v>16</v>
      </c>
      <c r="C34" s="1">
        <f t="shared" ref="C34:G34" si="3">STDEV(C3:C32)</f>
        <v>51193.7037</v>
      </c>
      <c r="D34" s="1">
        <f t="shared" si="3"/>
        <v>38451.40778</v>
      </c>
      <c r="E34" s="1">
        <f t="shared" si="3"/>
        <v>14095.68141</v>
      </c>
      <c r="F34" s="1">
        <f t="shared" si="3"/>
        <v>6954.38838</v>
      </c>
      <c r="G34" s="1">
        <f t="shared" si="3"/>
        <v>6607.796725</v>
      </c>
    </row>
    <row r="38">
      <c r="E38" s="3" t="s">
        <v>93</v>
      </c>
    </row>
    <row r="39">
      <c r="A39" s="2" t="s">
        <v>17</v>
      </c>
      <c r="B39" s="2" t="s">
        <v>61</v>
      </c>
      <c r="C39" s="2" t="s">
        <v>49</v>
      </c>
    </row>
    <row r="40">
      <c r="A40" s="1">
        <f>STDEV(C3:C32)</f>
        <v>51193.7037</v>
      </c>
      <c r="B40" s="2">
        <f>AVERAGE(C3:C32)</f>
        <v>478964</v>
      </c>
      <c r="C40" s="2">
        <v>1.0</v>
      </c>
    </row>
    <row r="41">
      <c r="A41" s="1">
        <f>STDEV(D3:D32)</f>
        <v>38451.40778</v>
      </c>
      <c r="B41" s="1">
        <f>AVERAGE(D3:D32)</f>
        <v>286923.9</v>
      </c>
      <c r="C41" s="2">
        <v>2.0</v>
      </c>
    </row>
    <row r="42">
      <c r="A42" s="1">
        <f>STDEV(E3:E32)</f>
        <v>14095.68141</v>
      </c>
      <c r="B42" s="1">
        <f>AVERAGE(E3:E32)</f>
        <v>163295.4667</v>
      </c>
      <c r="C42" s="2">
        <v>4.0</v>
      </c>
    </row>
    <row r="43">
      <c r="A43" s="1">
        <f>STDEV(F3:F32)</f>
        <v>6954.38838</v>
      </c>
      <c r="B43" s="1">
        <f>AVERAGE(F3:F32)</f>
        <v>153771.3</v>
      </c>
      <c r="C43" s="2">
        <v>8.0</v>
      </c>
    </row>
    <row r="44">
      <c r="A44" s="1">
        <f>STDEV(G3:G32)</f>
        <v>6607.796725</v>
      </c>
      <c r="B44" s="1">
        <f>AVERAGE(G3:G32)</f>
        <v>150660.5667</v>
      </c>
      <c r="C44" s="2">
        <v>12.0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4.88"/>
    <col customWidth="1" min="4" max="4" width="24.25"/>
    <col customWidth="1" min="5" max="5" width="24.63"/>
    <col customWidth="1" min="6" max="6" width="25.0"/>
    <col customWidth="1" min="7" max="7" width="25.38"/>
  </cols>
  <sheetData>
    <row r="2">
      <c r="B2" s="1"/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</row>
    <row r="3">
      <c r="B3" s="4">
        <v>1.0</v>
      </c>
      <c r="C3" s="2">
        <v>1008446.0</v>
      </c>
      <c r="D3" s="2">
        <v>551659.0</v>
      </c>
      <c r="E3" s="2">
        <v>284222.0</v>
      </c>
      <c r="F3" s="2">
        <v>347366.0</v>
      </c>
      <c r="G3" s="2">
        <v>273621.0</v>
      </c>
    </row>
    <row r="4">
      <c r="B4" s="4">
        <f t="shared" ref="B4:B32" si="1">B3+1</f>
        <v>2</v>
      </c>
      <c r="C4" s="2">
        <v>1099658.0</v>
      </c>
      <c r="D4" s="2">
        <v>494491.0</v>
      </c>
      <c r="E4" s="2">
        <v>341567.0</v>
      </c>
      <c r="F4" s="2">
        <v>274430.0</v>
      </c>
      <c r="G4" s="2">
        <v>265414.0</v>
      </c>
    </row>
    <row r="5">
      <c r="B5" s="4">
        <f t="shared" si="1"/>
        <v>3</v>
      </c>
      <c r="C5" s="2">
        <v>1062081.0</v>
      </c>
      <c r="D5" s="2">
        <v>522243.0</v>
      </c>
      <c r="E5" s="2">
        <v>296615.0</v>
      </c>
      <c r="F5" s="2">
        <v>262091.0</v>
      </c>
      <c r="G5" s="2">
        <v>295643.0</v>
      </c>
    </row>
    <row r="6">
      <c r="B6" s="4">
        <f t="shared" si="1"/>
        <v>4</v>
      </c>
      <c r="C6" s="2">
        <v>959930.0</v>
      </c>
      <c r="D6" s="2">
        <v>614318.0</v>
      </c>
      <c r="E6" s="2">
        <v>366495.0</v>
      </c>
      <c r="F6" s="2">
        <v>299130.0</v>
      </c>
      <c r="G6" s="2">
        <v>285842.0</v>
      </c>
    </row>
    <row r="7">
      <c r="B7" s="4">
        <f t="shared" si="1"/>
        <v>5</v>
      </c>
      <c r="C7" s="2">
        <v>1113059.0</v>
      </c>
      <c r="D7" s="2">
        <v>524567.0</v>
      </c>
      <c r="E7" s="2">
        <v>306306.0</v>
      </c>
      <c r="F7" s="2">
        <v>267641.0</v>
      </c>
      <c r="G7" s="2">
        <v>282392.0</v>
      </c>
    </row>
    <row r="8">
      <c r="B8" s="4">
        <f t="shared" si="1"/>
        <v>6</v>
      </c>
      <c r="C8" s="2">
        <v>1016648.0</v>
      </c>
      <c r="D8" s="2">
        <v>624905.0</v>
      </c>
      <c r="E8" s="2">
        <v>281117.0</v>
      </c>
      <c r="F8" s="2">
        <v>272623.0</v>
      </c>
      <c r="G8" s="2">
        <v>282147.0</v>
      </c>
    </row>
    <row r="9">
      <c r="B9" s="4">
        <f t="shared" si="1"/>
        <v>7</v>
      </c>
      <c r="C9" s="2">
        <v>1127671.0</v>
      </c>
      <c r="D9" s="2">
        <v>559515.0</v>
      </c>
      <c r="E9" s="2">
        <v>310129.0</v>
      </c>
      <c r="F9" s="2">
        <v>280633.0</v>
      </c>
      <c r="G9" s="2">
        <v>270036.0</v>
      </c>
    </row>
    <row r="10">
      <c r="B10" s="4">
        <f t="shared" si="1"/>
        <v>8</v>
      </c>
      <c r="C10" s="2">
        <v>1080299.0</v>
      </c>
      <c r="D10" s="2">
        <v>537782.0</v>
      </c>
      <c r="E10" s="2">
        <v>306410.0</v>
      </c>
      <c r="F10" s="2">
        <v>295091.0</v>
      </c>
      <c r="G10" s="2">
        <v>268575.0</v>
      </c>
    </row>
    <row r="11">
      <c r="B11" s="4">
        <f t="shared" si="1"/>
        <v>9</v>
      </c>
      <c r="C11" s="2">
        <v>1019368.0</v>
      </c>
      <c r="D11" s="2">
        <v>526867.0</v>
      </c>
      <c r="E11" s="2">
        <v>280769.0</v>
      </c>
      <c r="F11" s="2">
        <v>294377.0</v>
      </c>
      <c r="G11" s="2">
        <v>284562.0</v>
      </c>
    </row>
    <row r="12">
      <c r="B12" s="4">
        <f t="shared" si="1"/>
        <v>10</v>
      </c>
      <c r="C12" s="2">
        <v>1325605.0</v>
      </c>
      <c r="D12" s="2">
        <v>528500.0</v>
      </c>
      <c r="E12" s="2">
        <v>359704.0</v>
      </c>
      <c r="F12" s="2">
        <v>301079.0</v>
      </c>
      <c r="G12" s="2">
        <v>303418.0</v>
      </c>
    </row>
    <row r="13">
      <c r="B13" s="4">
        <f t="shared" si="1"/>
        <v>11</v>
      </c>
      <c r="C13" s="2">
        <v>1028205.0</v>
      </c>
      <c r="D13" s="2">
        <v>516273.0</v>
      </c>
      <c r="E13" s="2">
        <v>305536.0</v>
      </c>
      <c r="F13" s="2">
        <v>315335.0</v>
      </c>
      <c r="G13" s="2">
        <v>279099.0</v>
      </c>
    </row>
    <row r="14">
      <c r="B14" s="4">
        <f t="shared" si="1"/>
        <v>12</v>
      </c>
      <c r="C14" s="2">
        <v>969365.0</v>
      </c>
      <c r="D14" s="2">
        <v>617369.0</v>
      </c>
      <c r="E14" s="2">
        <v>333507.0</v>
      </c>
      <c r="F14" s="2">
        <v>281823.0</v>
      </c>
      <c r="G14" s="2">
        <v>285856.0</v>
      </c>
    </row>
    <row r="15">
      <c r="B15" s="4">
        <f t="shared" si="1"/>
        <v>13</v>
      </c>
      <c r="C15" s="2">
        <v>1064865.0</v>
      </c>
      <c r="D15" s="2">
        <v>531557.0</v>
      </c>
      <c r="E15" s="2">
        <v>333635.0</v>
      </c>
      <c r="F15" s="2">
        <v>275543.0</v>
      </c>
      <c r="G15" s="2">
        <v>300144.0</v>
      </c>
    </row>
    <row r="16">
      <c r="B16" s="4">
        <f t="shared" si="1"/>
        <v>14</v>
      </c>
      <c r="C16" s="2">
        <v>1003595.0</v>
      </c>
      <c r="D16" s="2">
        <v>603971.0</v>
      </c>
      <c r="E16" s="2">
        <v>317947.0</v>
      </c>
      <c r="F16" s="2">
        <v>282466.0</v>
      </c>
      <c r="G16" s="2">
        <v>298332.0</v>
      </c>
    </row>
    <row r="17">
      <c r="B17" s="4">
        <f t="shared" si="1"/>
        <v>15</v>
      </c>
      <c r="C17" s="2">
        <v>997013.0</v>
      </c>
      <c r="D17" s="2">
        <v>514698.0</v>
      </c>
      <c r="E17" s="2">
        <v>335406.0</v>
      </c>
      <c r="F17" s="2">
        <v>287187.0</v>
      </c>
      <c r="G17" s="2">
        <v>293517.0</v>
      </c>
    </row>
    <row r="18">
      <c r="B18" s="4">
        <f t="shared" si="1"/>
        <v>16</v>
      </c>
      <c r="C18" s="2">
        <v>1097086.0</v>
      </c>
      <c r="D18" s="2">
        <v>581590.0</v>
      </c>
      <c r="E18" s="2">
        <v>305110.0</v>
      </c>
      <c r="F18" s="2">
        <v>332837.0</v>
      </c>
      <c r="G18" s="2">
        <v>298449.0</v>
      </c>
    </row>
    <row r="19">
      <c r="B19" s="4">
        <f t="shared" si="1"/>
        <v>17</v>
      </c>
      <c r="C19" s="2">
        <v>931743.0</v>
      </c>
      <c r="D19" s="2">
        <v>548700.0</v>
      </c>
      <c r="E19" s="2">
        <v>294406.0</v>
      </c>
      <c r="F19" s="2">
        <v>286550.0</v>
      </c>
      <c r="G19" s="2">
        <v>287183.0</v>
      </c>
    </row>
    <row r="20">
      <c r="B20" s="4">
        <f t="shared" si="1"/>
        <v>18</v>
      </c>
      <c r="C20" s="2">
        <v>1006339.0</v>
      </c>
      <c r="D20" s="2">
        <v>599067.0</v>
      </c>
      <c r="E20" s="2">
        <v>291343.0</v>
      </c>
      <c r="F20" s="2">
        <v>290516.0</v>
      </c>
      <c r="G20" s="2">
        <v>292033.0</v>
      </c>
    </row>
    <row r="21">
      <c r="B21" s="4">
        <f t="shared" si="1"/>
        <v>19</v>
      </c>
      <c r="C21" s="2">
        <v>1012256.0</v>
      </c>
      <c r="D21" s="2">
        <v>827625.0</v>
      </c>
      <c r="E21" s="2">
        <v>297303.0</v>
      </c>
      <c r="F21" s="2">
        <v>291714.0</v>
      </c>
      <c r="G21" s="2">
        <v>324673.0</v>
      </c>
    </row>
    <row r="22">
      <c r="B22" s="4">
        <f t="shared" si="1"/>
        <v>20</v>
      </c>
      <c r="C22" s="2">
        <v>938764.0</v>
      </c>
      <c r="D22" s="2">
        <v>562433.0</v>
      </c>
      <c r="E22" s="2">
        <v>324323.0</v>
      </c>
      <c r="F22" s="2">
        <v>286212.0</v>
      </c>
      <c r="G22" s="2">
        <v>292189.0</v>
      </c>
    </row>
    <row r="23">
      <c r="B23" s="4">
        <f t="shared" si="1"/>
        <v>21</v>
      </c>
      <c r="C23" s="2">
        <v>991032.0</v>
      </c>
      <c r="D23" s="2">
        <v>543897.0</v>
      </c>
      <c r="E23" s="2">
        <v>288121.0</v>
      </c>
      <c r="F23" s="2">
        <v>330785.0</v>
      </c>
      <c r="G23" s="2">
        <v>300500.0</v>
      </c>
    </row>
    <row r="24">
      <c r="B24" s="4">
        <f t="shared" si="1"/>
        <v>22</v>
      </c>
      <c r="C24" s="2">
        <v>1065489.0</v>
      </c>
      <c r="D24" s="2">
        <v>523767.0</v>
      </c>
      <c r="E24" s="2">
        <v>315422.0</v>
      </c>
      <c r="F24" s="2">
        <v>304739.0</v>
      </c>
      <c r="G24" s="2">
        <v>270020.0</v>
      </c>
    </row>
    <row r="25">
      <c r="B25" s="4">
        <f t="shared" si="1"/>
        <v>23</v>
      </c>
      <c r="C25" s="2">
        <v>1052278.0</v>
      </c>
      <c r="D25" s="2">
        <v>515624.0</v>
      </c>
      <c r="E25" s="2">
        <v>318207.0</v>
      </c>
      <c r="F25" s="2">
        <v>318055.0</v>
      </c>
      <c r="G25" s="2">
        <v>275615.0</v>
      </c>
    </row>
    <row r="26">
      <c r="B26" s="4">
        <f t="shared" si="1"/>
        <v>24</v>
      </c>
      <c r="C26" s="2">
        <v>1470615.0</v>
      </c>
      <c r="D26" s="2">
        <v>526918.0</v>
      </c>
      <c r="E26" s="2">
        <v>287099.0</v>
      </c>
      <c r="F26" s="2">
        <v>314696.0</v>
      </c>
      <c r="G26" s="2">
        <v>301652.0</v>
      </c>
    </row>
    <row r="27">
      <c r="B27" s="4">
        <f t="shared" si="1"/>
        <v>25</v>
      </c>
      <c r="C27" s="2">
        <v>1089544.0</v>
      </c>
      <c r="D27" s="2">
        <v>669561.0</v>
      </c>
      <c r="E27" s="2">
        <v>314514.0</v>
      </c>
      <c r="F27" s="2">
        <v>306297.0</v>
      </c>
      <c r="G27" s="2">
        <v>283044.0</v>
      </c>
    </row>
    <row r="28">
      <c r="B28" s="4">
        <f t="shared" si="1"/>
        <v>26</v>
      </c>
      <c r="C28" s="2">
        <v>999471.0</v>
      </c>
      <c r="D28" s="2">
        <v>540536.0</v>
      </c>
      <c r="E28" s="2">
        <v>295627.0</v>
      </c>
      <c r="F28" s="2">
        <v>295083.0</v>
      </c>
      <c r="G28" s="2">
        <v>280948.0</v>
      </c>
    </row>
    <row r="29">
      <c r="B29" s="4">
        <f t="shared" si="1"/>
        <v>27</v>
      </c>
      <c r="C29" s="2">
        <v>942185.0</v>
      </c>
      <c r="D29" s="2">
        <v>487241.0</v>
      </c>
      <c r="E29" s="2">
        <v>294887.0</v>
      </c>
      <c r="F29" s="2">
        <v>285527.0</v>
      </c>
      <c r="G29" s="2">
        <v>280451.0</v>
      </c>
    </row>
    <row r="30">
      <c r="B30" s="4">
        <f t="shared" si="1"/>
        <v>28</v>
      </c>
      <c r="C30" s="2">
        <v>1065838.0</v>
      </c>
      <c r="D30" s="2">
        <v>643924.0</v>
      </c>
      <c r="E30" s="2">
        <v>320154.0</v>
      </c>
      <c r="F30" s="2">
        <v>320352.0</v>
      </c>
      <c r="G30" s="2">
        <v>290217.0</v>
      </c>
    </row>
    <row r="31">
      <c r="B31" s="4">
        <f t="shared" si="1"/>
        <v>29</v>
      </c>
      <c r="C31" s="2">
        <v>1034208.0</v>
      </c>
      <c r="D31" s="2">
        <v>700169.0</v>
      </c>
      <c r="E31" s="2">
        <v>297230.0</v>
      </c>
      <c r="F31" s="2">
        <v>301990.0</v>
      </c>
      <c r="G31" s="2">
        <v>252404.0</v>
      </c>
    </row>
    <row r="32">
      <c r="B32" s="4">
        <f t="shared" si="1"/>
        <v>30</v>
      </c>
      <c r="C32" s="2">
        <v>978111.0</v>
      </c>
      <c r="D32" s="2">
        <v>528986.0</v>
      </c>
      <c r="E32" s="2">
        <v>305286.0</v>
      </c>
      <c r="F32" s="2">
        <v>293910.0</v>
      </c>
      <c r="G32" s="2">
        <v>290132.0</v>
      </c>
    </row>
    <row r="33">
      <c r="B33" s="2" t="s">
        <v>15</v>
      </c>
      <c r="C33" s="1">
        <f t="shared" ref="C33:G33" si="2">AVERAGE(C3:C32)</f>
        <v>1051692.233</v>
      </c>
      <c r="D33" s="1">
        <f t="shared" si="2"/>
        <v>568958.4333</v>
      </c>
      <c r="E33" s="1">
        <f t="shared" si="2"/>
        <v>310279.9</v>
      </c>
      <c r="F33" s="1">
        <f t="shared" si="2"/>
        <v>296535.9333</v>
      </c>
      <c r="G33" s="1">
        <f t="shared" si="2"/>
        <v>286270.2667</v>
      </c>
    </row>
    <row r="34">
      <c r="B34" s="2" t="s">
        <v>16</v>
      </c>
      <c r="C34" s="1">
        <f t="shared" ref="C34:G34" si="3">STDEV(C3:C32)</f>
        <v>109452.4099</v>
      </c>
      <c r="D34" s="1">
        <f t="shared" si="3"/>
        <v>71460.90466</v>
      </c>
      <c r="E34" s="1">
        <f t="shared" si="3"/>
        <v>21877.49636</v>
      </c>
      <c r="F34" s="1">
        <f t="shared" si="3"/>
        <v>20075.43787</v>
      </c>
      <c r="G34" s="1">
        <f t="shared" si="3"/>
        <v>14129.50569</v>
      </c>
    </row>
    <row r="37">
      <c r="E37" s="3" t="s">
        <v>99</v>
      </c>
    </row>
    <row r="38">
      <c r="B38" s="2" t="s">
        <v>17</v>
      </c>
      <c r="C38" s="2" t="s">
        <v>61</v>
      </c>
      <c r="D38" s="2" t="s">
        <v>49</v>
      </c>
    </row>
    <row r="39">
      <c r="B39" s="1">
        <f>STDEV(C3:C32)</f>
        <v>109452.4099</v>
      </c>
      <c r="C39" s="1">
        <f>AVERAGE(C3:C32)</f>
        <v>1051692.233</v>
      </c>
      <c r="D39" s="2">
        <v>1.0</v>
      </c>
    </row>
    <row r="40">
      <c r="B40" s="1">
        <f>STDEV(D3:D32)</f>
        <v>71460.90466</v>
      </c>
      <c r="C40" s="1">
        <f>AVERAGE(D3:D32)</f>
        <v>568958.4333</v>
      </c>
      <c r="D40" s="2">
        <v>2.0</v>
      </c>
    </row>
    <row r="41">
      <c r="B41" s="1">
        <f>STDEV(E3:E32)</f>
        <v>21877.49636</v>
      </c>
      <c r="C41" s="1">
        <f>AVERAGE(E3:E32)</f>
        <v>310279.9</v>
      </c>
      <c r="D41" s="2">
        <v>4.0</v>
      </c>
    </row>
    <row r="42">
      <c r="B42" s="1">
        <f>STDEV(F3:F32)</f>
        <v>20075.43787</v>
      </c>
      <c r="C42" s="1">
        <f>AVERAGE(F3:F32)</f>
        <v>296535.9333</v>
      </c>
      <c r="D42" s="2">
        <v>8.0</v>
      </c>
    </row>
    <row r="43">
      <c r="B43" s="1">
        <f>STDEV(G3:G32)</f>
        <v>14129.50569</v>
      </c>
      <c r="C43" s="1">
        <f>AVERAGE(G3:G32)</f>
        <v>286270.2667</v>
      </c>
      <c r="D43" s="2">
        <v>12.0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0"/>
    <col customWidth="1" min="3" max="3" width="24.88"/>
    <col customWidth="1" min="4" max="4" width="24.25"/>
    <col customWidth="1" min="5" max="5" width="24.63"/>
    <col customWidth="1" min="6" max="6" width="25.0"/>
    <col customWidth="1" min="7" max="7" width="25.38"/>
  </cols>
  <sheetData>
    <row r="2">
      <c r="B2" s="1"/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>
      <c r="B3" s="4">
        <v>1.0</v>
      </c>
      <c r="C3" s="2">
        <v>3301290.0</v>
      </c>
      <c r="D3" s="2">
        <v>1525385.0</v>
      </c>
      <c r="E3" s="2">
        <v>1114399.0</v>
      </c>
      <c r="F3" s="2">
        <v>766909.0</v>
      </c>
      <c r="G3" s="2">
        <v>928584.0</v>
      </c>
    </row>
    <row r="4">
      <c r="B4" s="4">
        <f t="shared" ref="B4:B32" si="1">B3+1</f>
        <v>2</v>
      </c>
      <c r="C4" s="2">
        <v>3606667.0</v>
      </c>
      <c r="D4" s="2">
        <v>1572862.0</v>
      </c>
      <c r="E4" s="2">
        <v>860616.0</v>
      </c>
      <c r="F4" s="2">
        <v>752226.0</v>
      </c>
      <c r="G4" s="2">
        <v>752727.0</v>
      </c>
    </row>
    <row r="5">
      <c r="B5" s="4">
        <f t="shared" si="1"/>
        <v>3</v>
      </c>
      <c r="C5" s="2">
        <v>3418210.0</v>
      </c>
      <c r="D5" s="2">
        <v>1850472.0</v>
      </c>
      <c r="E5" s="2">
        <v>845572.0</v>
      </c>
      <c r="F5" s="2">
        <v>789012.0</v>
      </c>
      <c r="G5" s="2">
        <v>754523.0</v>
      </c>
    </row>
    <row r="6">
      <c r="B6" s="4">
        <f t="shared" si="1"/>
        <v>4</v>
      </c>
      <c r="C6" s="2">
        <v>3415822.0</v>
      </c>
      <c r="D6" s="2">
        <v>1494378.0</v>
      </c>
      <c r="E6" s="2">
        <v>811769.0</v>
      </c>
      <c r="F6" s="2">
        <v>781177.0</v>
      </c>
      <c r="G6" s="2">
        <v>739268.0</v>
      </c>
    </row>
    <row r="7">
      <c r="B7" s="4">
        <f t="shared" si="1"/>
        <v>5</v>
      </c>
      <c r="C7" s="2">
        <v>3344925.0</v>
      </c>
      <c r="D7" s="2">
        <v>2493660.0</v>
      </c>
      <c r="E7" s="2">
        <v>847298.0</v>
      </c>
      <c r="F7" s="2">
        <v>806974.0</v>
      </c>
      <c r="G7" s="2">
        <v>759356.0</v>
      </c>
    </row>
    <row r="8">
      <c r="B8" s="4">
        <f t="shared" si="1"/>
        <v>6</v>
      </c>
      <c r="C8" s="2">
        <v>3420297.0</v>
      </c>
      <c r="D8" s="2">
        <v>1474112.0</v>
      </c>
      <c r="E8" s="2">
        <v>817228.0</v>
      </c>
      <c r="F8" s="2">
        <v>837361.0</v>
      </c>
      <c r="G8" s="2">
        <v>757010.0</v>
      </c>
    </row>
    <row r="9">
      <c r="B9" s="4">
        <f t="shared" si="1"/>
        <v>7</v>
      </c>
      <c r="C9" s="2">
        <v>3209417.0</v>
      </c>
      <c r="D9" s="2">
        <v>1533228.0</v>
      </c>
      <c r="E9" s="2">
        <v>813677.0</v>
      </c>
      <c r="F9" s="2">
        <v>795184.0</v>
      </c>
      <c r="G9" s="2">
        <v>778129.0</v>
      </c>
    </row>
    <row r="10">
      <c r="B10" s="4">
        <f t="shared" si="1"/>
        <v>8</v>
      </c>
      <c r="C10" s="2">
        <v>3257267.0</v>
      </c>
      <c r="D10" s="2">
        <v>1508374.0</v>
      </c>
      <c r="E10" s="2">
        <v>779327.0</v>
      </c>
      <c r="F10" s="2">
        <v>810238.0</v>
      </c>
      <c r="G10" s="2">
        <v>738445.0</v>
      </c>
    </row>
    <row r="11">
      <c r="B11" s="4">
        <f t="shared" si="1"/>
        <v>9</v>
      </c>
      <c r="C11" s="2">
        <v>3400966.0</v>
      </c>
      <c r="D11" s="2">
        <v>1580214.0</v>
      </c>
      <c r="E11" s="2">
        <v>773424.0</v>
      </c>
      <c r="F11" s="2">
        <v>736800.0</v>
      </c>
      <c r="G11" s="2">
        <v>742402.0</v>
      </c>
    </row>
    <row r="12">
      <c r="B12" s="4">
        <f t="shared" si="1"/>
        <v>10</v>
      </c>
      <c r="C12" s="2">
        <v>3289013.0</v>
      </c>
      <c r="D12" s="2">
        <v>1437195.0</v>
      </c>
      <c r="E12" s="2">
        <v>828235.0</v>
      </c>
      <c r="F12" s="2">
        <v>769913.0</v>
      </c>
      <c r="G12" s="2">
        <v>778304.0</v>
      </c>
    </row>
    <row r="13">
      <c r="B13" s="4">
        <f t="shared" si="1"/>
        <v>11</v>
      </c>
      <c r="C13" s="2">
        <v>3326313.0</v>
      </c>
      <c r="D13" s="2">
        <v>1456738.0</v>
      </c>
      <c r="E13" s="2">
        <v>701347.0</v>
      </c>
      <c r="F13" s="2">
        <v>846517.0</v>
      </c>
      <c r="G13" s="2">
        <v>767727.0</v>
      </c>
    </row>
    <row r="14">
      <c r="B14" s="4">
        <f t="shared" si="1"/>
        <v>12</v>
      </c>
      <c r="C14" s="2">
        <v>3387116.0</v>
      </c>
      <c r="D14" s="2">
        <v>1525210.0</v>
      </c>
      <c r="E14" s="2">
        <v>816628.0</v>
      </c>
      <c r="F14" s="2">
        <v>790675.0</v>
      </c>
      <c r="G14" s="2">
        <v>786081.0</v>
      </c>
    </row>
    <row r="15">
      <c r="B15" s="4">
        <f t="shared" si="1"/>
        <v>13</v>
      </c>
      <c r="C15" s="2">
        <v>3471346.0</v>
      </c>
      <c r="D15" s="2">
        <v>1914271.0</v>
      </c>
      <c r="E15" s="2">
        <v>729069.0</v>
      </c>
      <c r="F15" s="2">
        <v>753883.0</v>
      </c>
      <c r="G15" s="2">
        <v>828718.0</v>
      </c>
    </row>
    <row r="16">
      <c r="B16" s="4">
        <f t="shared" si="1"/>
        <v>14</v>
      </c>
      <c r="C16" s="2">
        <v>3608614.0</v>
      </c>
      <c r="D16" s="2">
        <v>1692949.0</v>
      </c>
      <c r="E16" s="2">
        <v>830832.0</v>
      </c>
      <c r="F16" s="2">
        <v>796891.0</v>
      </c>
      <c r="G16" s="2">
        <v>814403.0</v>
      </c>
    </row>
    <row r="17">
      <c r="B17" s="4">
        <f t="shared" si="1"/>
        <v>15</v>
      </c>
      <c r="C17" s="2">
        <v>3354583.0</v>
      </c>
      <c r="D17" s="2">
        <v>1827331.0</v>
      </c>
      <c r="E17" s="2">
        <v>797950.0</v>
      </c>
      <c r="F17" s="2">
        <v>744325.0</v>
      </c>
      <c r="G17" s="2">
        <v>781153.0</v>
      </c>
    </row>
    <row r="18">
      <c r="B18" s="4">
        <f t="shared" si="1"/>
        <v>16</v>
      </c>
      <c r="C18" s="2">
        <v>3252848.0</v>
      </c>
      <c r="D18" s="2">
        <v>1646710.0</v>
      </c>
      <c r="E18" s="2">
        <v>785963.0</v>
      </c>
      <c r="F18" s="2">
        <v>750309.0</v>
      </c>
      <c r="G18" s="2">
        <v>811754.0</v>
      </c>
    </row>
    <row r="19">
      <c r="B19" s="4">
        <f t="shared" si="1"/>
        <v>17</v>
      </c>
      <c r="C19" s="2">
        <v>3535846.0</v>
      </c>
      <c r="D19" s="2">
        <v>1509395.0</v>
      </c>
      <c r="E19" s="2">
        <v>764248.0</v>
      </c>
      <c r="F19" s="2">
        <v>686070.0</v>
      </c>
      <c r="G19" s="2">
        <v>766821.0</v>
      </c>
    </row>
    <row r="20">
      <c r="B20" s="4">
        <f t="shared" si="1"/>
        <v>18</v>
      </c>
      <c r="C20" s="2">
        <v>3217932.0</v>
      </c>
      <c r="D20" s="2">
        <v>1506119.0</v>
      </c>
      <c r="E20" s="2">
        <v>879054.0</v>
      </c>
      <c r="F20" s="2">
        <v>791456.0</v>
      </c>
      <c r="G20" s="2">
        <v>776995.0</v>
      </c>
    </row>
    <row r="21">
      <c r="B21" s="4">
        <f t="shared" si="1"/>
        <v>19</v>
      </c>
      <c r="C21" s="2">
        <v>3642873.0</v>
      </c>
      <c r="D21" s="2">
        <v>1712593.0</v>
      </c>
      <c r="E21" s="2">
        <v>785459.0</v>
      </c>
      <c r="F21" s="2">
        <v>819211.0</v>
      </c>
      <c r="G21" s="2">
        <v>786335.0</v>
      </c>
    </row>
    <row r="22">
      <c r="B22" s="4">
        <f t="shared" si="1"/>
        <v>20</v>
      </c>
      <c r="C22" s="2">
        <v>3428567.0</v>
      </c>
      <c r="D22" s="2">
        <v>1429269.0</v>
      </c>
      <c r="E22" s="2">
        <v>773210.0</v>
      </c>
      <c r="F22" s="2">
        <v>758759.0</v>
      </c>
      <c r="G22" s="2">
        <v>805961.0</v>
      </c>
    </row>
    <row r="23">
      <c r="B23" s="4">
        <f t="shared" si="1"/>
        <v>21</v>
      </c>
      <c r="C23" s="2">
        <v>3469497.0</v>
      </c>
      <c r="D23" s="2">
        <v>1650639.0</v>
      </c>
      <c r="E23" s="2">
        <v>801731.0</v>
      </c>
      <c r="F23" s="2">
        <v>751051.0</v>
      </c>
      <c r="G23" s="2">
        <v>757641.0</v>
      </c>
    </row>
    <row r="24">
      <c r="B24" s="4">
        <f t="shared" si="1"/>
        <v>22</v>
      </c>
      <c r="C24" s="2">
        <v>3299386.0</v>
      </c>
      <c r="D24" s="2">
        <v>1692090.0</v>
      </c>
      <c r="E24" s="2">
        <v>781681.0</v>
      </c>
      <c r="F24" s="2">
        <v>732653.0</v>
      </c>
      <c r="G24" s="2">
        <v>747234.0</v>
      </c>
    </row>
    <row r="25">
      <c r="B25" s="4">
        <f t="shared" si="1"/>
        <v>23</v>
      </c>
      <c r="C25" s="2">
        <v>3600310.0</v>
      </c>
      <c r="D25" s="2">
        <v>1552929.0</v>
      </c>
      <c r="E25" s="2">
        <v>847129.0</v>
      </c>
      <c r="F25" s="2">
        <v>764144.0</v>
      </c>
      <c r="G25" s="2">
        <v>764365.0</v>
      </c>
    </row>
    <row r="26">
      <c r="B26" s="4">
        <f t="shared" si="1"/>
        <v>24</v>
      </c>
      <c r="C26" s="2">
        <v>3472307.0</v>
      </c>
      <c r="D26" s="2">
        <v>1548894.0</v>
      </c>
      <c r="E26" s="2">
        <v>873389.0</v>
      </c>
      <c r="F26" s="2">
        <v>778241.0</v>
      </c>
      <c r="G26" s="2">
        <v>818950.0</v>
      </c>
    </row>
    <row r="27">
      <c r="B27" s="4">
        <f t="shared" si="1"/>
        <v>25</v>
      </c>
      <c r="C27" s="2">
        <v>3216470.0</v>
      </c>
      <c r="D27" s="2">
        <v>1522856.0</v>
      </c>
      <c r="E27" s="2">
        <v>834545.0</v>
      </c>
      <c r="F27" s="2">
        <v>761183.0</v>
      </c>
      <c r="G27" s="2">
        <v>790876.0</v>
      </c>
    </row>
    <row r="28">
      <c r="B28" s="4">
        <f t="shared" si="1"/>
        <v>26</v>
      </c>
      <c r="C28" s="2">
        <v>3571155.0</v>
      </c>
      <c r="D28" s="2">
        <v>1511658.0</v>
      </c>
      <c r="E28" s="2">
        <v>762101.0</v>
      </c>
      <c r="F28" s="2">
        <v>799563.0</v>
      </c>
      <c r="G28" s="2">
        <v>819488.0</v>
      </c>
    </row>
    <row r="29">
      <c r="B29" s="4">
        <f t="shared" si="1"/>
        <v>27</v>
      </c>
      <c r="C29" s="2">
        <v>3309945.0</v>
      </c>
      <c r="D29" s="2">
        <v>1610970.0</v>
      </c>
      <c r="E29" s="2">
        <v>819382.0</v>
      </c>
      <c r="F29" s="2">
        <v>709852.0</v>
      </c>
      <c r="G29" s="2">
        <v>786243.0</v>
      </c>
    </row>
    <row r="30">
      <c r="B30" s="4">
        <f t="shared" si="1"/>
        <v>28</v>
      </c>
      <c r="C30" s="2">
        <v>3213079.0</v>
      </c>
      <c r="D30" s="2">
        <v>1718982.0</v>
      </c>
      <c r="E30" s="2">
        <v>750340.0</v>
      </c>
      <c r="F30" s="2">
        <v>752785.0</v>
      </c>
      <c r="G30" s="2">
        <v>770873.0</v>
      </c>
    </row>
    <row r="31">
      <c r="B31" s="4">
        <f t="shared" si="1"/>
        <v>29</v>
      </c>
      <c r="C31" s="2">
        <v>3365792.0</v>
      </c>
      <c r="D31" s="2">
        <v>1435750.0</v>
      </c>
      <c r="E31" s="2">
        <v>915296.0</v>
      </c>
      <c r="F31" s="2">
        <v>885187.0</v>
      </c>
      <c r="G31" s="2">
        <v>703508.0</v>
      </c>
    </row>
    <row r="32">
      <c r="B32" s="4">
        <f t="shared" si="1"/>
        <v>30</v>
      </c>
      <c r="C32" s="2">
        <v>4486202.0</v>
      </c>
      <c r="D32" s="2">
        <v>1671136.0</v>
      </c>
      <c r="E32" s="2">
        <v>835082.0</v>
      </c>
      <c r="F32" s="2">
        <v>948080.0</v>
      </c>
      <c r="G32" s="2">
        <v>757733.0</v>
      </c>
    </row>
    <row r="33">
      <c r="B33" s="2" t="s">
        <v>15</v>
      </c>
      <c r="C33" s="1">
        <f t="shared" ref="C33:G33" si="2">AVERAGE(C3:C32)</f>
        <v>3429801.833</v>
      </c>
      <c r="D33" s="1">
        <f t="shared" si="2"/>
        <v>1620212.3</v>
      </c>
      <c r="E33" s="1">
        <f t="shared" si="2"/>
        <v>819199.3667</v>
      </c>
      <c r="F33" s="1">
        <f t="shared" si="2"/>
        <v>782220.9667</v>
      </c>
      <c r="G33" s="1">
        <f t="shared" si="2"/>
        <v>779053.5667</v>
      </c>
    </row>
    <row r="34">
      <c r="B34" s="2" t="s">
        <v>16</v>
      </c>
      <c r="C34" s="1">
        <f t="shared" ref="C34:G34" si="3">STDEV(C3:C32)</f>
        <v>237480.7994</v>
      </c>
      <c r="D34" s="1">
        <f t="shared" si="3"/>
        <v>207143.4435</v>
      </c>
      <c r="E34" s="1">
        <f t="shared" si="3"/>
        <v>72139.61938</v>
      </c>
      <c r="F34" s="1">
        <f t="shared" si="3"/>
        <v>51077.60084</v>
      </c>
      <c r="G34" s="1">
        <f t="shared" si="3"/>
        <v>39972.71852</v>
      </c>
    </row>
    <row r="36">
      <c r="A36" s="2" t="s">
        <v>17</v>
      </c>
      <c r="B36" s="2" t="s">
        <v>61</v>
      </c>
      <c r="C36" s="2" t="s">
        <v>49</v>
      </c>
    </row>
    <row r="37">
      <c r="A37" s="1">
        <f>STDEV(C3:C32)</f>
        <v>237480.7994</v>
      </c>
      <c r="B37" s="1">
        <f>AVERAGE(C3:C32)</f>
        <v>3429801.833</v>
      </c>
      <c r="C37" s="2">
        <v>1.0</v>
      </c>
      <c r="E37" s="3" t="s">
        <v>100</v>
      </c>
    </row>
    <row r="38">
      <c r="A38" s="1">
        <f>STDEV(D3:D32)</f>
        <v>207143.4435</v>
      </c>
      <c r="B38" s="1">
        <f>AVERAGE(D3:D32)</f>
        <v>1620212.3</v>
      </c>
      <c r="C38" s="2">
        <v>2.0</v>
      </c>
    </row>
    <row r="39">
      <c r="A39" s="1">
        <f>STDEV(E3:E32)</f>
        <v>72139.61938</v>
      </c>
      <c r="B39" s="1">
        <f>AVERAGE(E3:E32)</f>
        <v>819199.3667</v>
      </c>
      <c r="C39" s="2">
        <v>4.0</v>
      </c>
    </row>
    <row r="40">
      <c r="A40" s="1">
        <f>STDEV(F3:F32)</f>
        <v>51077.60084</v>
      </c>
      <c r="B40" s="1">
        <f>AVERAGE(F3:F32)</f>
        <v>782220.9667</v>
      </c>
      <c r="C40" s="2">
        <v>8.0</v>
      </c>
    </row>
    <row r="41">
      <c r="A41" s="1">
        <f>STDEV(G3:G32)</f>
        <v>39972.71852</v>
      </c>
      <c r="B41" s="1">
        <f>AVERAGE(G3:G32)</f>
        <v>779053.5667</v>
      </c>
      <c r="C41" s="2">
        <v>12.0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13"/>
    <col customWidth="1" min="3" max="3" width="30.38"/>
    <col customWidth="1" min="4" max="4" width="26.38"/>
    <col customWidth="1" min="5" max="5" width="27.75"/>
    <col customWidth="1" min="6" max="6" width="28.13"/>
    <col customWidth="1" min="7" max="7" width="27.75"/>
  </cols>
  <sheetData>
    <row r="2">
      <c r="B2" s="1"/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</row>
    <row r="3">
      <c r="B3" s="4">
        <v>1.0</v>
      </c>
      <c r="C3" s="2">
        <v>5739635.0</v>
      </c>
      <c r="D3" s="2">
        <v>2774349.0</v>
      </c>
      <c r="E3" s="2">
        <v>1518845.0</v>
      </c>
      <c r="F3" s="2">
        <v>1312828.0</v>
      </c>
      <c r="G3" s="2">
        <v>1212897.0</v>
      </c>
    </row>
    <row r="4">
      <c r="B4" s="4">
        <f t="shared" ref="B4:B32" si="1">B3+1</f>
        <v>2</v>
      </c>
      <c r="C4" s="2">
        <v>5748622.0</v>
      </c>
      <c r="D4" s="2">
        <v>3370101.0</v>
      </c>
      <c r="E4" s="2">
        <v>1254939.0</v>
      </c>
      <c r="F4" s="2">
        <v>1229904.0</v>
      </c>
      <c r="G4" s="2">
        <v>1364563.0</v>
      </c>
    </row>
    <row r="5">
      <c r="B5" s="4">
        <f t="shared" si="1"/>
        <v>3</v>
      </c>
      <c r="C5" s="2">
        <v>5958038.0</v>
      </c>
      <c r="D5" s="2">
        <v>2676166.0</v>
      </c>
      <c r="E5" s="2">
        <v>1309524.0</v>
      </c>
      <c r="F5" s="2">
        <v>1251737.0</v>
      </c>
      <c r="G5" s="2">
        <v>1128758.0</v>
      </c>
    </row>
    <row r="6">
      <c r="B6" s="4">
        <f t="shared" si="1"/>
        <v>4</v>
      </c>
      <c r="C6" s="2">
        <v>5495711.0</v>
      </c>
      <c r="D6" s="2">
        <v>3014836.0</v>
      </c>
      <c r="E6" s="2">
        <v>1230366.0</v>
      </c>
      <c r="F6" s="2">
        <v>1316904.0</v>
      </c>
      <c r="G6" s="2">
        <v>1202478.0</v>
      </c>
    </row>
    <row r="7">
      <c r="B7" s="4">
        <f t="shared" si="1"/>
        <v>5</v>
      </c>
      <c r="C7" s="2">
        <v>5419898.0</v>
      </c>
      <c r="D7" s="2">
        <v>2639458.0</v>
      </c>
      <c r="E7" s="2">
        <v>1286003.0</v>
      </c>
      <c r="F7" s="2">
        <v>1234026.0</v>
      </c>
      <c r="G7" s="2">
        <v>1328605.0</v>
      </c>
    </row>
    <row r="8">
      <c r="B8" s="4">
        <f t="shared" si="1"/>
        <v>6</v>
      </c>
      <c r="C8" s="2">
        <v>5656578.0</v>
      </c>
      <c r="D8" s="2">
        <v>2746873.0</v>
      </c>
      <c r="E8" s="2">
        <v>1317117.0</v>
      </c>
      <c r="F8" s="2">
        <v>1210672.0</v>
      </c>
      <c r="G8" s="2">
        <v>1231183.0</v>
      </c>
    </row>
    <row r="9">
      <c r="B9" s="4">
        <f t="shared" si="1"/>
        <v>7</v>
      </c>
      <c r="C9" s="2">
        <v>5567544.0</v>
      </c>
      <c r="D9" s="2">
        <v>2645921.0</v>
      </c>
      <c r="E9" s="2">
        <v>1359668.0</v>
      </c>
      <c r="F9" s="2">
        <v>1278600.0</v>
      </c>
      <c r="G9" s="2">
        <v>1357231.0</v>
      </c>
    </row>
    <row r="10">
      <c r="B10" s="4">
        <f t="shared" si="1"/>
        <v>8</v>
      </c>
      <c r="C10" s="2">
        <v>5345124.0</v>
      </c>
      <c r="D10" s="2">
        <v>2986789.0</v>
      </c>
      <c r="E10" s="2">
        <v>1293933.0</v>
      </c>
      <c r="F10" s="2">
        <v>1110382.0</v>
      </c>
      <c r="G10" s="2">
        <v>1233927.0</v>
      </c>
    </row>
    <row r="11">
      <c r="B11" s="4">
        <f t="shared" si="1"/>
        <v>9</v>
      </c>
      <c r="C11" s="2">
        <v>6104745.0</v>
      </c>
      <c r="D11" s="2">
        <v>2577663.0</v>
      </c>
      <c r="E11" s="2">
        <v>1222650.0</v>
      </c>
      <c r="F11" s="2">
        <v>1347213.0</v>
      </c>
      <c r="G11" s="2">
        <v>1335203.0</v>
      </c>
    </row>
    <row r="12">
      <c r="B12" s="4">
        <f t="shared" si="1"/>
        <v>10</v>
      </c>
      <c r="C12" s="2">
        <v>5854792.0</v>
      </c>
      <c r="D12" s="2">
        <v>2718192.0</v>
      </c>
      <c r="E12" s="2">
        <v>1196544.0</v>
      </c>
      <c r="F12" s="2">
        <v>1235622.0</v>
      </c>
      <c r="G12" s="2">
        <v>1299733.0</v>
      </c>
    </row>
    <row r="13">
      <c r="B13" s="4">
        <f t="shared" si="1"/>
        <v>11</v>
      </c>
      <c r="C13" s="2">
        <v>5942145.0</v>
      </c>
      <c r="D13" s="2">
        <v>2784823.0</v>
      </c>
      <c r="E13" s="2">
        <v>1376992.0</v>
      </c>
      <c r="F13" s="2">
        <v>1275650.0</v>
      </c>
      <c r="G13" s="2">
        <v>1214714.0</v>
      </c>
    </row>
    <row r="14">
      <c r="B14" s="4">
        <f t="shared" si="1"/>
        <v>12</v>
      </c>
      <c r="C14" s="2">
        <v>5447102.0</v>
      </c>
      <c r="D14" s="2">
        <v>2737468.0</v>
      </c>
      <c r="E14" s="2">
        <v>1279040.0</v>
      </c>
      <c r="F14" s="2">
        <v>1248971.0</v>
      </c>
      <c r="G14" s="2">
        <v>1258959.0</v>
      </c>
    </row>
    <row r="15">
      <c r="B15" s="4">
        <f t="shared" si="1"/>
        <v>13</v>
      </c>
      <c r="C15" s="2">
        <v>5396570.0</v>
      </c>
      <c r="D15" s="2">
        <v>2787465.0</v>
      </c>
      <c r="E15" s="2">
        <v>1335408.0</v>
      </c>
      <c r="F15" s="2">
        <v>1239459.0</v>
      </c>
      <c r="G15" s="2">
        <v>1289069.0</v>
      </c>
    </row>
    <row r="16">
      <c r="B16" s="4">
        <f t="shared" si="1"/>
        <v>14</v>
      </c>
      <c r="C16" s="2">
        <v>5853187.0</v>
      </c>
      <c r="D16" s="2">
        <v>3043244.0</v>
      </c>
      <c r="E16" s="2">
        <v>1328130.0</v>
      </c>
      <c r="F16" s="2">
        <v>1271494.0</v>
      </c>
      <c r="G16" s="2">
        <v>1223591.0</v>
      </c>
    </row>
    <row r="17">
      <c r="B17" s="4">
        <f t="shared" si="1"/>
        <v>15</v>
      </c>
      <c r="C17" s="2">
        <v>5731031.0</v>
      </c>
      <c r="D17" s="2">
        <v>2697961.0</v>
      </c>
      <c r="E17" s="2">
        <v>1327587.0</v>
      </c>
      <c r="F17" s="2">
        <v>1227184.0</v>
      </c>
      <c r="G17" s="2">
        <v>1241042.0</v>
      </c>
    </row>
    <row r="18">
      <c r="B18" s="4">
        <f t="shared" si="1"/>
        <v>16</v>
      </c>
      <c r="C18" s="2">
        <v>5321439.0</v>
      </c>
      <c r="D18" s="2">
        <v>3144489.0</v>
      </c>
      <c r="E18" s="2">
        <v>1317381.0</v>
      </c>
      <c r="F18" s="2">
        <v>1198243.0</v>
      </c>
      <c r="G18" s="2">
        <v>1249365.0</v>
      </c>
    </row>
    <row r="19">
      <c r="B19" s="4">
        <f t="shared" si="1"/>
        <v>17</v>
      </c>
      <c r="C19" s="2">
        <v>5258228.0</v>
      </c>
      <c r="D19" s="2">
        <v>2891821.0</v>
      </c>
      <c r="E19" s="2">
        <v>1433318.0</v>
      </c>
      <c r="F19" s="2">
        <v>1296998.0</v>
      </c>
      <c r="G19" s="2">
        <v>1247604.0</v>
      </c>
    </row>
    <row r="20">
      <c r="B20" s="4">
        <f t="shared" si="1"/>
        <v>18</v>
      </c>
      <c r="C20" s="2">
        <v>5485647.0</v>
      </c>
      <c r="D20" s="2">
        <v>3079644.0</v>
      </c>
      <c r="E20" s="2">
        <v>1256407.0</v>
      </c>
      <c r="F20" s="2">
        <v>1196177.0</v>
      </c>
      <c r="G20" s="2">
        <v>1241456.0</v>
      </c>
    </row>
    <row r="21">
      <c r="B21" s="4">
        <f t="shared" si="1"/>
        <v>19</v>
      </c>
      <c r="C21" s="2">
        <v>5335065.0</v>
      </c>
      <c r="D21" s="2">
        <v>3458627.0</v>
      </c>
      <c r="E21" s="2">
        <v>1291959.0</v>
      </c>
      <c r="F21" s="2">
        <v>1101217.0</v>
      </c>
      <c r="G21" s="2">
        <v>1224468.0</v>
      </c>
    </row>
    <row r="22">
      <c r="B22" s="4">
        <f t="shared" si="1"/>
        <v>20</v>
      </c>
      <c r="C22" s="2">
        <v>5455461.0</v>
      </c>
      <c r="D22" s="2">
        <v>3120882.0</v>
      </c>
      <c r="E22" s="2">
        <v>1441079.0</v>
      </c>
      <c r="F22" s="2">
        <v>1228416.0</v>
      </c>
      <c r="G22" s="2">
        <v>1186028.0</v>
      </c>
    </row>
    <row r="23">
      <c r="B23" s="4">
        <f t="shared" si="1"/>
        <v>21</v>
      </c>
      <c r="C23" s="2">
        <v>5966232.0</v>
      </c>
      <c r="D23" s="2">
        <v>3697048.0</v>
      </c>
      <c r="E23" s="2">
        <v>1208147.0</v>
      </c>
      <c r="F23" s="2">
        <v>1349336.0</v>
      </c>
      <c r="G23" s="2">
        <v>1181817.0</v>
      </c>
    </row>
    <row r="24">
      <c r="B24" s="4">
        <f t="shared" si="1"/>
        <v>22</v>
      </c>
      <c r="C24" s="2">
        <v>5445235.0</v>
      </c>
      <c r="D24" s="2">
        <v>2833427.0</v>
      </c>
      <c r="E24" s="2">
        <v>1246406.0</v>
      </c>
      <c r="F24" s="2">
        <v>1265438.0</v>
      </c>
      <c r="G24" s="2">
        <v>1126682.0</v>
      </c>
    </row>
    <row r="25">
      <c r="B25" s="4">
        <f t="shared" si="1"/>
        <v>23</v>
      </c>
      <c r="C25" s="2">
        <v>5774697.0</v>
      </c>
      <c r="D25" s="2">
        <v>2847479.0</v>
      </c>
      <c r="E25" s="2">
        <v>1539341.0</v>
      </c>
      <c r="F25" s="2">
        <v>1256594.0</v>
      </c>
      <c r="G25" s="2">
        <v>1225679.0</v>
      </c>
    </row>
    <row r="26">
      <c r="B26" s="4">
        <f t="shared" si="1"/>
        <v>24</v>
      </c>
      <c r="C26" s="2">
        <v>5247743.0</v>
      </c>
      <c r="D26" s="2">
        <v>2686107.0</v>
      </c>
      <c r="E26" s="2">
        <v>1407020.0</v>
      </c>
      <c r="F26" s="2">
        <v>1264838.0</v>
      </c>
      <c r="G26" s="2">
        <v>1193963.0</v>
      </c>
    </row>
    <row r="27">
      <c r="B27" s="4">
        <f t="shared" si="1"/>
        <v>25</v>
      </c>
      <c r="C27" s="2">
        <v>5970164.0</v>
      </c>
      <c r="D27" s="2">
        <v>2783658.0</v>
      </c>
      <c r="E27" s="2">
        <v>1183025.0</v>
      </c>
      <c r="F27" s="2">
        <v>1125403.0</v>
      </c>
      <c r="G27" s="2">
        <v>1306531.0</v>
      </c>
    </row>
    <row r="28">
      <c r="B28" s="4">
        <f t="shared" si="1"/>
        <v>26</v>
      </c>
      <c r="C28" s="2">
        <v>5487059.0</v>
      </c>
      <c r="D28" s="2">
        <v>2776435.0</v>
      </c>
      <c r="E28" s="2">
        <v>1334532.0</v>
      </c>
      <c r="F28" s="2">
        <v>1207233.0</v>
      </c>
      <c r="G28" s="2">
        <v>1253313.0</v>
      </c>
    </row>
    <row r="29">
      <c r="B29" s="4">
        <f t="shared" si="1"/>
        <v>27</v>
      </c>
      <c r="C29" s="2">
        <v>5821723.0</v>
      </c>
      <c r="D29" s="2">
        <v>3239281.0</v>
      </c>
      <c r="E29" s="2">
        <v>1266528.0</v>
      </c>
      <c r="F29" s="2">
        <v>1253463.0</v>
      </c>
      <c r="G29" s="2">
        <v>1164079.0</v>
      </c>
    </row>
    <row r="30">
      <c r="B30" s="4">
        <f t="shared" si="1"/>
        <v>28</v>
      </c>
      <c r="C30" s="2">
        <v>5530742.0</v>
      </c>
      <c r="D30" s="2">
        <v>2849687.0</v>
      </c>
      <c r="E30" s="2">
        <v>1286881.0</v>
      </c>
      <c r="F30" s="2">
        <v>1239172.0</v>
      </c>
      <c r="G30" s="2">
        <v>1201508.0</v>
      </c>
    </row>
    <row r="31">
      <c r="B31" s="4">
        <f t="shared" si="1"/>
        <v>29</v>
      </c>
      <c r="C31" s="2">
        <v>5420428.0</v>
      </c>
      <c r="D31" s="2">
        <v>2719117.0</v>
      </c>
      <c r="E31" s="2">
        <v>1195637.0</v>
      </c>
      <c r="F31" s="2">
        <v>1356314.0</v>
      </c>
      <c r="G31" s="2">
        <v>1248665.0</v>
      </c>
    </row>
    <row r="32">
      <c r="B32" s="4">
        <f t="shared" si="1"/>
        <v>30</v>
      </c>
      <c r="C32" s="2">
        <v>5351763.0</v>
      </c>
      <c r="D32" s="2">
        <v>2720606.0</v>
      </c>
      <c r="E32" s="2">
        <v>1258255.0</v>
      </c>
      <c r="F32" s="2">
        <v>1257434.0</v>
      </c>
      <c r="G32" s="2">
        <v>1253552.0</v>
      </c>
    </row>
    <row r="33">
      <c r="B33" s="2" t="s">
        <v>15</v>
      </c>
      <c r="C33" s="1">
        <f t="shared" ref="C33:G33" si="2">AVERAGE(C3:C32)</f>
        <v>5604411.6</v>
      </c>
      <c r="D33" s="1">
        <f t="shared" si="2"/>
        <v>2901653.9</v>
      </c>
      <c r="E33" s="1">
        <f t="shared" si="2"/>
        <v>1310088.733</v>
      </c>
      <c r="F33" s="1">
        <f t="shared" si="2"/>
        <v>1246230.733</v>
      </c>
      <c r="G33" s="1">
        <f t="shared" si="2"/>
        <v>1240888.767</v>
      </c>
    </row>
    <row r="34">
      <c r="B34" s="2" t="s">
        <v>16</v>
      </c>
      <c r="C34" s="1">
        <f t="shared" ref="C34:G34" si="3">STDEV(C3:C32)</f>
        <v>247285.5827</v>
      </c>
      <c r="D34" s="1">
        <f t="shared" si="3"/>
        <v>266948.8791</v>
      </c>
      <c r="E34" s="1">
        <f t="shared" si="3"/>
        <v>89162.42422</v>
      </c>
      <c r="F34" s="1">
        <f t="shared" si="3"/>
        <v>62013.31513</v>
      </c>
      <c r="G34" s="1">
        <f t="shared" si="3"/>
        <v>59302.61999</v>
      </c>
    </row>
    <row r="40">
      <c r="E40" s="3" t="s">
        <v>106</v>
      </c>
    </row>
    <row r="41">
      <c r="A41" s="2" t="s">
        <v>17</v>
      </c>
      <c r="B41" s="2" t="s">
        <v>61</v>
      </c>
      <c r="C41" s="2" t="s">
        <v>49</v>
      </c>
    </row>
    <row r="42">
      <c r="A42" s="1">
        <f>STDEV(C3:C32)</f>
        <v>247285.5827</v>
      </c>
      <c r="B42" s="1">
        <f>AVERAGE(C3:C32)</f>
        <v>5604411.6</v>
      </c>
      <c r="C42" s="2">
        <v>1.0</v>
      </c>
    </row>
    <row r="43">
      <c r="A43" s="1">
        <f>STDEV(D3:D32)</f>
        <v>266948.8791</v>
      </c>
      <c r="B43" s="1">
        <f>AVERAGE(D3:D32)</f>
        <v>2901653.9</v>
      </c>
      <c r="C43" s="2">
        <v>2.0</v>
      </c>
    </row>
    <row r="44">
      <c r="A44" s="1">
        <f>STDEV(E3:E32)</f>
        <v>89162.42422</v>
      </c>
      <c r="B44" s="1">
        <f>AVERAGE(E3:E32)</f>
        <v>1310088.733</v>
      </c>
      <c r="C44" s="2">
        <v>4.0</v>
      </c>
    </row>
    <row r="45">
      <c r="A45" s="1">
        <f>STDEV(F3:F32)</f>
        <v>62013.31513</v>
      </c>
      <c r="B45" s="1">
        <f>AVERAGE(F3:F32)</f>
        <v>1246230.733</v>
      </c>
      <c r="C45" s="2">
        <v>8.0</v>
      </c>
    </row>
    <row r="46">
      <c r="A46" s="1">
        <f>STDEV(G3:G32)</f>
        <v>59302.61999</v>
      </c>
      <c r="B46" s="1">
        <f>AVERAGE(G3:G32)</f>
        <v>1240888.767</v>
      </c>
      <c r="C46" s="2">
        <v>12.0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5"/>
    <col customWidth="1" min="3" max="3" width="24.88"/>
    <col customWidth="1" min="4" max="4" width="29.0"/>
    <col customWidth="1" min="5" max="5" width="29.63"/>
    <col customWidth="1" min="6" max="6" width="27.38"/>
    <col customWidth="1" min="7" max="7" width="28.13"/>
  </cols>
  <sheetData>
    <row r="2">
      <c r="B2" s="1"/>
      <c r="C2" s="2" t="s">
        <v>107</v>
      </c>
      <c r="D2" s="2" t="s">
        <v>108</v>
      </c>
      <c r="E2" s="2" t="s">
        <v>74</v>
      </c>
      <c r="F2" s="2" t="s">
        <v>109</v>
      </c>
      <c r="G2" s="2" t="s">
        <v>110</v>
      </c>
    </row>
    <row r="3">
      <c r="B3" s="4">
        <v>1.0</v>
      </c>
      <c r="C3" s="2">
        <v>1.2581097E7</v>
      </c>
      <c r="D3" s="2">
        <v>5947342.0</v>
      </c>
      <c r="E3" s="2">
        <v>2821639.0</v>
      </c>
      <c r="F3" s="2">
        <v>2603676.0</v>
      </c>
      <c r="G3" s="2">
        <v>2616110.0</v>
      </c>
    </row>
    <row r="4">
      <c r="B4" s="4">
        <f t="shared" ref="B4:B32" si="1">B3+1</f>
        <v>2</v>
      </c>
      <c r="C4" s="2">
        <v>1.2874676E7</v>
      </c>
      <c r="D4" s="2">
        <v>6208328.0</v>
      </c>
      <c r="E4" s="2">
        <v>2683652.0</v>
      </c>
      <c r="F4" s="2">
        <v>2639541.0</v>
      </c>
      <c r="G4" s="2">
        <v>2581872.0</v>
      </c>
    </row>
    <row r="5">
      <c r="B5" s="4">
        <f t="shared" si="1"/>
        <v>3</v>
      </c>
      <c r="C5" s="2">
        <v>1.3416404E7</v>
      </c>
      <c r="D5" s="2">
        <v>6155722.0</v>
      </c>
      <c r="E5" s="2">
        <v>2686361.0</v>
      </c>
      <c r="F5" s="2">
        <v>2628594.0</v>
      </c>
      <c r="G5" s="2">
        <v>2832590.0</v>
      </c>
    </row>
    <row r="6">
      <c r="B6" s="4">
        <f t="shared" si="1"/>
        <v>4</v>
      </c>
      <c r="C6" s="2">
        <v>1.3116626E7</v>
      </c>
      <c r="D6" s="2">
        <v>6175615.0</v>
      </c>
      <c r="E6" s="2">
        <v>2800829.0</v>
      </c>
      <c r="F6" s="2">
        <v>2698722.0</v>
      </c>
      <c r="G6" s="2">
        <v>2616177.0</v>
      </c>
    </row>
    <row r="7">
      <c r="B7" s="4">
        <f t="shared" si="1"/>
        <v>5</v>
      </c>
      <c r="C7" s="2">
        <v>1.3334876E7</v>
      </c>
      <c r="D7" s="2">
        <v>7068529.0</v>
      </c>
      <c r="E7" s="2">
        <v>2751938.0</v>
      </c>
      <c r="F7" s="2">
        <v>2605395.0</v>
      </c>
      <c r="G7" s="2">
        <v>2463797.0</v>
      </c>
    </row>
    <row r="8">
      <c r="B8" s="4">
        <f t="shared" si="1"/>
        <v>6</v>
      </c>
      <c r="C8" s="2">
        <v>1.3281805E7</v>
      </c>
      <c r="D8" s="2">
        <v>6188679.0</v>
      </c>
      <c r="E8" s="2">
        <v>2920567.0</v>
      </c>
      <c r="F8" s="2">
        <v>2653982.0</v>
      </c>
      <c r="G8" s="2">
        <v>2673879.0</v>
      </c>
    </row>
    <row r="9">
      <c r="B9" s="4">
        <f t="shared" si="1"/>
        <v>7</v>
      </c>
      <c r="C9" s="2">
        <v>1.3028625E7</v>
      </c>
      <c r="D9" s="2">
        <v>6254764.0</v>
      </c>
      <c r="E9" s="2">
        <v>2815216.0</v>
      </c>
      <c r="F9" s="2">
        <v>2620382.0</v>
      </c>
      <c r="G9" s="2">
        <v>2628743.0</v>
      </c>
    </row>
    <row r="10">
      <c r="B10" s="4">
        <f t="shared" si="1"/>
        <v>8</v>
      </c>
      <c r="C10" s="2">
        <v>1.356734E7</v>
      </c>
      <c r="D10" s="2">
        <v>6546581.0</v>
      </c>
      <c r="E10" s="2">
        <v>2744830.0</v>
      </c>
      <c r="F10" s="2">
        <v>2570168.0</v>
      </c>
      <c r="G10" s="2">
        <v>2759887.0</v>
      </c>
    </row>
    <row r="11">
      <c r="B11" s="4">
        <f t="shared" si="1"/>
        <v>9</v>
      </c>
      <c r="C11" s="2">
        <v>1.3249981E7</v>
      </c>
      <c r="D11" s="2">
        <v>6228892.0</v>
      </c>
      <c r="E11" s="2">
        <v>2704064.0</v>
      </c>
      <c r="F11" s="2">
        <v>2628717.0</v>
      </c>
      <c r="G11" s="2">
        <v>2573861.0</v>
      </c>
    </row>
    <row r="12">
      <c r="B12" s="4">
        <f t="shared" si="1"/>
        <v>10</v>
      </c>
      <c r="C12" s="2">
        <v>1.3416675E7</v>
      </c>
      <c r="D12" s="2">
        <v>6328795.0</v>
      </c>
      <c r="E12" s="2">
        <v>2693686.0</v>
      </c>
      <c r="F12" s="2">
        <v>2512148.0</v>
      </c>
      <c r="G12" s="2">
        <v>2591444.0</v>
      </c>
    </row>
    <row r="13">
      <c r="B13" s="4">
        <f t="shared" si="1"/>
        <v>11</v>
      </c>
      <c r="C13" s="2">
        <v>1.3169142E7</v>
      </c>
      <c r="D13" s="2">
        <v>6001050.0</v>
      </c>
      <c r="E13" s="2">
        <v>3570656.0</v>
      </c>
      <c r="F13" s="2">
        <v>2671829.0</v>
      </c>
      <c r="G13" s="2">
        <v>2716302.0</v>
      </c>
    </row>
    <row r="14">
      <c r="B14" s="4">
        <f t="shared" si="1"/>
        <v>12</v>
      </c>
      <c r="C14" s="2">
        <v>1.2639333E7</v>
      </c>
      <c r="D14" s="2">
        <v>6007083.0</v>
      </c>
      <c r="E14" s="2">
        <v>3250473.0</v>
      </c>
      <c r="F14" s="2">
        <v>2593939.0</v>
      </c>
      <c r="G14" s="2">
        <v>2558850.0</v>
      </c>
    </row>
    <row r="15">
      <c r="B15" s="4">
        <f t="shared" si="1"/>
        <v>13</v>
      </c>
      <c r="C15" s="2">
        <v>1.1964701E7</v>
      </c>
      <c r="D15" s="2">
        <v>6293938.0</v>
      </c>
      <c r="E15" s="2">
        <v>2719215.0</v>
      </c>
      <c r="F15" s="2">
        <v>2611423.0</v>
      </c>
      <c r="G15" s="2">
        <v>2542096.0</v>
      </c>
    </row>
    <row r="16">
      <c r="B16" s="4">
        <f t="shared" si="1"/>
        <v>14</v>
      </c>
      <c r="C16" s="2">
        <v>1.2705981E7</v>
      </c>
      <c r="D16" s="2">
        <v>6291699.0</v>
      </c>
      <c r="E16" s="2">
        <v>2952210.0</v>
      </c>
      <c r="F16" s="2">
        <v>2502404.0</v>
      </c>
      <c r="G16" s="2">
        <v>2650679.0</v>
      </c>
    </row>
    <row r="17">
      <c r="B17" s="4">
        <f t="shared" si="1"/>
        <v>15</v>
      </c>
      <c r="C17" s="2">
        <v>1.2221975E7</v>
      </c>
      <c r="D17" s="2">
        <v>6076964.0</v>
      </c>
      <c r="E17" s="2">
        <v>2711550.0</v>
      </c>
      <c r="F17" s="2">
        <v>2765164.0</v>
      </c>
      <c r="G17" s="2">
        <v>2737564.0</v>
      </c>
    </row>
    <row r="18">
      <c r="B18" s="4">
        <f t="shared" si="1"/>
        <v>16</v>
      </c>
      <c r="C18" s="2">
        <v>1.2972367E7</v>
      </c>
      <c r="D18" s="2">
        <v>6129118.0</v>
      </c>
      <c r="E18" s="2">
        <v>2739081.0</v>
      </c>
      <c r="F18" s="2">
        <v>3679342.0</v>
      </c>
      <c r="G18" s="2">
        <v>2583594.0</v>
      </c>
    </row>
    <row r="19">
      <c r="B19" s="4">
        <f t="shared" si="1"/>
        <v>17</v>
      </c>
      <c r="C19" s="2">
        <v>1.2843535E7</v>
      </c>
      <c r="D19" s="2">
        <v>6537171.0</v>
      </c>
      <c r="E19" s="2">
        <v>2571357.0</v>
      </c>
      <c r="F19" s="2">
        <v>2904114.0</v>
      </c>
      <c r="G19" s="2">
        <v>2613520.0</v>
      </c>
    </row>
    <row r="20">
      <c r="B20" s="4">
        <f t="shared" si="1"/>
        <v>18</v>
      </c>
      <c r="C20" s="2">
        <v>1.2647415E7</v>
      </c>
      <c r="D20" s="2">
        <v>6664543.0</v>
      </c>
      <c r="E20" s="2">
        <v>2614393.0</v>
      </c>
      <c r="F20" s="2">
        <v>2757481.0</v>
      </c>
      <c r="G20" s="2">
        <v>2664342.0</v>
      </c>
    </row>
    <row r="21">
      <c r="B21" s="4">
        <f t="shared" si="1"/>
        <v>19</v>
      </c>
      <c r="C21" s="2">
        <v>1.2950504E7</v>
      </c>
      <c r="D21" s="2">
        <v>5961395.0</v>
      </c>
      <c r="E21" s="2">
        <v>2679003.0</v>
      </c>
      <c r="F21" s="2">
        <v>2617123.0</v>
      </c>
      <c r="G21" s="2">
        <v>2706963.0</v>
      </c>
    </row>
    <row r="22">
      <c r="B22" s="4">
        <f t="shared" si="1"/>
        <v>20</v>
      </c>
      <c r="C22" s="2">
        <v>1.2564663E7</v>
      </c>
      <c r="D22" s="2">
        <v>6383606.0</v>
      </c>
      <c r="E22" s="2">
        <v>2701324.0</v>
      </c>
      <c r="F22" s="2">
        <v>2576201.0</v>
      </c>
      <c r="G22" s="2">
        <v>2601745.0</v>
      </c>
    </row>
    <row r="23">
      <c r="B23" s="4">
        <f t="shared" si="1"/>
        <v>21</v>
      </c>
      <c r="C23" s="2">
        <v>1.3097341E7</v>
      </c>
      <c r="D23" s="2">
        <v>6022696.0</v>
      </c>
      <c r="E23" s="2">
        <v>2728552.0</v>
      </c>
      <c r="F23" s="2">
        <v>2734951.0</v>
      </c>
      <c r="G23" s="2">
        <v>2667573.0</v>
      </c>
    </row>
    <row r="24">
      <c r="B24" s="4">
        <f t="shared" si="1"/>
        <v>22</v>
      </c>
      <c r="C24" s="2">
        <v>1.3133218E7</v>
      </c>
      <c r="D24" s="2">
        <v>6416388.0</v>
      </c>
      <c r="E24" s="2">
        <v>2596222.0</v>
      </c>
      <c r="F24" s="2">
        <v>2644007.0</v>
      </c>
      <c r="G24" s="2">
        <v>2667857.0</v>
      </c>
    </row>
    <row r="25">
      <c r="B25" s="4">
        <f t="shared" si="1"/>
        <v>23</v>
      </c>
      <c r="C25" s="2">
        <v>1.2788364E7</v>
      </c>
      <c r="D25" s="2">
        <v>6579732.0</v>
      </c>
      <c r="E25" s="2">
        <v>2591498.0</v>
      </c>
      <c r="F25" s="2">
        <v>2542194.0</v>
      </c>
      <c r="G25" s="2">
        <v>2568779.0</v>
      </c>
    </row>
    <row r="26">
      <c r="B26" s="4">
        <f t="shared" si="1"/>
        <v>24</v>
      </c>
      <c r="C26" s="2">
        <v>1.3023868E7</v>
      </c>
      <c r="D26" s="2">
        <v>5966320.0</v>
      </c>
      <c r="E26" s="2">
        <v>2842831.0</v>
      </c>
      <c r="F26" s="2">
        <v>2662532.0</v>
      </c>
      <c r="G26" s="2">
        <v>2567953.0</v>
      </c>
    </row>
    <row r="27">
      <c r="B27" s="4">
        <f t="shared" si="1"/>
        <v>25</v>
      </c>
      <c r="C27" s="2">
        <v>1.3083141E7</v>
      </c>
      <c r="D27" s="2">
        <v>6119204.0</v>
      </c>
      <c r="E27" s="2">
        <v>2714373.0</v>
      </c>
      <c r="F27" s="2">
        <v>2591438.0</v>
      </c>
      <c r="G27" s="2">
        <v>2698295.0</v>
      </c>
    </row>
    <row r="28">
      <c r="B28" s="4">
        <f t="shared" si="1"/>
        <v>26</v>
      </c>
      <c r="C28" s="2">
        <v>1.3069916E7</v>
      </c>
      <c r="D28" s="2">
        <v>6185568.0</v>
      </c>
      <c r="E28" s="2">
        <v>2726737.0</v>
      </c>
      <c r="F28" s="2">
        <v>2601094.0</v>
      </c>
      <c r="G28" s="2">
        <v>2651014.0</v>
      </c>
    </row>
    <row r="29">
      <c r="B29" s="4">
        <f t="shared" si="1"/>
        <v>27</v>
      </c>
      <c r="C29" s="2">
        <v>1.3267667E7</v>
      </c>
      <c r="D29" s="2">
        <v>6017154.0</v>
      </c>
      <c r="E29" s="2">
        <v>2855187.0</v>
      </c>
      <c r="F29" s="2">
        <v>2575014.0</v>
      </c>
      <c r="G29" s="2">
        <v>2700013.0</v>
      </c>
    </row>
    <row r="30">
      <c r="B30" s="4">
        <f t="shared" si="1"/>
        <v>28</v>
      </c>
      <c r="C30" s="2">
        <v>1.2450394E7</v>
      </c>
      <c r="D30" s="2">
        <v>5976220.0</v>
      </c>
      <c r="E30" s="2">
        <v>2665484.0</v>
      </c>
      <c r="F30" s="2">
        <v>2580756.0</v>
      </c>
      <c r="G30" s="2">
        <v>2629744.0</v>
      </c>
    </row>
    <row r="31">
      <c r="B31" s="4">
        <f t="shared" si="1"/>
        <v>29</v>
      </c>
      <c r="C31" s="2">
        <v>1.284689E7</v>
      </c>
      <c r="D31" s="2">
        <v>6017115.0</v>
      </c>
      <c r="E31" s="2">
        <v>2872598.0</v>
      </c>
      <c r="F31" s="2">
        <v>2573154.0</v>
      </c>
      <c r="G31" s="2">
        <v>2515423.0</v>
      </c>
    </row>
    <row r="32">
      <c r="B32" s="4">
        <f t="shared" si="1"/>
        <v>30</v>
      </c>
      <c r="C32" s="2">
        <v>1.3193427E7</v>
      </c>
      <c r="D32" s="2">
        <v>6926241.0</v>
      </c>
      <c r="E32" s="2">
        <v>2951380.0</v>
      </c>
      <c r="F32" s="2">
        <v>2590287.0</v>
      </c>
      <c r="G32" s="2">
        <v>2650334.0</v>
      </c>
    </row>
    <row r="33">
      <c r="B33" s="2" t="s">
        <v>15</v>
      </c>
      <c r="C33" s="1">
        <f t="shared" ref="C33:G33" si="2">AVERAGE(C3:C32)</f>
        <v>12950064.9</v>
      </c>
      <c r="D33" s="1">
        <f t="shared" si="2"/>
        <v>6255881.733</v>
      </c>
      <c r="E33" s="1">
        <f t="shared" si="2"/>
        <v>2789230.2</v>
      </c>
      <c r="F33" s="1">
        <f t="shared" si="2"/>
        <v>2664525.733</v>
      </c>
      <c r="G33" s="1">
        <f t="shared" si="2"/>
        <v>2634366.667</v>
      </c>
    </row>
    <row r="34">
      <c r="B34" s="2" t="s">
        <v>16</v>
      </c>
      <c r="C34" s="1">
        <f t="shared" ref="C34:G34" si="3">STDEV(C3:C32)</f>
        <v>363722.0166</v>
      </c>
      <c r="D34" s="1">
        <f t="shared" si="3"/>
        <v>283469.423</v>
      </c>
      <c r="E34" s="1">
        <f t="shared" si="3"/>
        <v>200619.8869</v>
      </c>
      <c r="F34" s="1">
        <f t="shared" si="3"/>
        <v>207992.3877</v>
      </c>
      <c r="G34" s="1">
        <f t="shared" si="3"/>
        <v>76740.30447</v>
      </c>
    </row>
    <row r="37">
      <c r="A37" s="2" t="s">
        <v>6</v>
      </c>
      <c r="B37" s="2" t="s">
        <v>61</v>
      </c>
      <c r="C37" s="2" t="s">
        <v>49</v>
      </c>
      <c r="E37" s="3" t="s">
        <v>111</v>
      </c>
    </row>
    <row r="38">
      <c r="A38" s="1">
        <f>STDEV(C3:C32)</f>
        <v>363722.0166</v>
      </c>
      <c r="B38" s="1">
        <f>AVERAGE(C3:C32)</f>
        <v>12950064.9</v>
      </c>
      <c r="C38" s="2">
        <v>1.0</v>
      </c>
    </row>
    <row r="39">
      <c r="A39" s="1">
        <f>STDEV(D3:D32)</f>
        <v>283469.423</v>
      </c>
      <c r="B39" s="1">
        <f>AVERAGE(D3:D32)</f>
        <v>6255881.733</v>
      </c>
      <c r="C39" s="2">
        <v>2.0</v>
      </c>
    </row>
    <row r="40">
      <c r="A40" s="1">
        <f>STDEV(E3:E32)</f>
        <v>200619.8869</v>
      </c>
      <c r="B40" s="1">
        <f>AVERAGE(E3:E32)</f>
        <v>2789230.2</v>
      </c>
      <c r="C40" s="2">
        <v>4.0</v>
      </c>
    </row>
    <row r="41">
      <c r="A41" s="1">
        <f>STDEV(F3:F32)</f>
        <v>207992.3877</v>
      </c>
      <c r="B41" s="1">
        <f>AVERAGE(F3:F32)</f>
        <v>2664525.733</v>
      </c>
      <c r="C41" s="2">
        <v>8.0</v>
      </c>
    </row>
    <row r="42">
      <c r="A42" s="1">
        <f>STDEV(G3:G32)</f>
        <v>76740.30447</v>
      </c>
      <c r="B42" s="1">
        <f>AVERAGE(G3:G32)</f>
        <v>2634366.667</v>
      </c>
      <c r="C42" s="2">
        <v>12.0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4.88"/>
    <col customWidth="1" min="4" max="4" width="24.25"/>
    <col customWidth="1" min="5" max="5" width="24.63"/>
    <col customWidth="1" min="6" max="6" width="25.0"/>
    <col customWidth="1" min="7" max="7" width="25.38"/>
  </cols>
  <sheetData>
    <row r="2">
      <c r="B2" s="1"/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</row>
    <row r="3">
      <c r="B3" s="4">
        <v>1.0</v>
      </c>
      <c r="C3" s="2">
        <v>4.7265575E7</v>
      </c>
      <c r="D3" s="2">
        <v>2.4612019E7</v>
      </c>
      <c r="E3" s="2">
        <v>1.0559567E7</v>
      </c>
      <c r="F3" s="2">
        <v>9990704.0</v>
      </c>
      <c r="G3" s="2">
        <v>1.0128839E7</v>
      </c>
    </row>
    <row r="4">
      <c r="B4" s="4">
        <f t="shared" ref="B4:B32" si="1">B3+1</f>
        <v>2</v>
      </c>
      <c r="C4" s="2">
        <v>4.9686656E7</v>
      </c>
      <c r="D4" s="2">
        <v>2.2057306E7</v>
      </c>
      <c r="E4" s="2">
        <v>9930606.0</v>
      </c>
      <c r="F4" s="2">
        <v>9933368.0</v>
      </c>
      <c r="G4" s="2">
        <v>9928143.0</v>
      </c>
    </row>
    <row r="5">
      <c r="B5" s="4">
        <f t="shared" si="1"/>
        <v>3</v>
      </c>
      <c r="C5" s="2">
        <v>4.8926236E7</v>
      </c>
      <c r="D5" s="2">
        <v>2.2105233E7</v>
      </c>
      <c r="E5" s="2">
        <v>1.0771484E7</v>
      </c>
      <c r="F5" s="2">
        <v>1.0168099E7</v>
      </c>
      <c r="G5" s="2">
        <v>9321120.0</v>
      </c>
    </row>
    <row r="6">
      <c r="B6" s="4">
        <f t="shared" si="1"/>
        <v>4</v>
      </c>
      <c r="C6" s="2">
        <v>4.7820001E7</v>
      </c>
      <c r="D6" s="2">
        <v>2.402456E7</v>
      </c>
      <c r="E6" s="2">
        <v>1.1834212E7</v>
      </c>
      <c r="F6" s="2">
        <v>1.0028108E7</v>
      </c>
      <c r="G6" s="2">
        <v>9875185.0</v>
      </c>
    </row>
    <row r="7">
      <c r="B7" s="4">
        <f t="shared" si="1"/>
        <v>5</v>
      </c>
      <c r="C7" s="2">
        <v>4.7204967E7</v>
      </c>
      <c r="D7" s="2">
        <v>2.411078E7</v>
      </c>
      <c r="E7" s="2">
        <v>1.1394273E7</v>
      </c>
      <c r="F7" s="2">
        <v>1.0019141E7</v>
      </c>
      <c r="G7" s="2">
        <v>9953504.0</v>
      </c>
    </row>
    <row r="8">
      <c r="B8" s="4">
        <f t="shared" si="1"/>
        <v>6</v>
      </c>
      <c r="C8" s="2">
        <v>4.3617083E7</v>
      </c>
      <c r="D8" s="2">
        <v>2.3819307E7</v>
      </c>
      <c r="E8" s="2">
        <v>1.08597E7</v>
      </c>
      <c r="F8" s="2">
        <v>8838205.0</v>
      </c>
      <c r="G8" s="2">
        <v>9875805.0</v>
      </c>
    </row>
    <row r="9">
      <c r="B9" s="4">
        <f t="shared" si="1"/>
        <v>7</v>
      </c>
      <c r="C9" s="2">
        <v>4.882E7</v>
      </c>
      <c r="D9" s="2">
        <v>2.2029629E7</v>
      </c>
      <c r="E9" s="2">
        <v>1.1322779E7</v>
      </c>
      <c r="F9" s="2">
        <v>9865689.0</v>
      </c>
      <c r="G9" s="2">
        <v>1.0597002E7</v>
      </c>
    </row>
    <row r="10">
      <c r="B10" s="4">
        <f t="shared" si="1"/>
        <v>8</v>
      </c>
      <c r="C10" s="2">
        <v>4.904795E7</v>
      </c>
      <c r="D10" s="2">
        <v>2.5134572E7</v>
      </c>
      <c r="E10" s="2">
        <v>1.0688926E7</v>
      </c>
      <c r="F10" s="2">
        <v>9805552.0</v>
      </c>
      <c r="G10" s="2">
        <v>9935391.0</v>
      </c>
    </row>
    <row r="11">
      <c r="B11" s="4">
        <f t="shared" si="1"/>
        <v>9</v>
      </c>
      <c r="C11" s="2">
        <v>4.4555804E7</v>
      </c>
      <c r="D11" s="2">
        <v>2.5433982E7</v>
      </c>
      <c r="E11" s="2">
        <v>1.0715697E7</v>
      </c>
      <c r="F11" s="2">
        <v>1.0359247E7</v>
      </c>
      <c r="G11" s="2">
        <v>1.0347039E7</v>
      </c>
    </row>
    <row r="12">
      <c r="B12" s="4">
        <f t="shared" si="1"/>
        <v>10</v>
      </c>
      <c r="C12" s="2">
        <v>4.4932556E7</v>
      </c>
      <c r="D12" s="2">
        <v>2.4522329E7</v>
      </c>
      <c r="E12" s="2">
        <v>1.0712644E7</v>
      </c>
      <c r="F12" s="2">
        <v>1.1485265E7</v>
      </c>
      <c r="G12" s="2">
        <v>9983021.0</v>
      </c>
    </row>
    <row r="13">
      <c r="B13" s="4">
        <f t="shared" si="1"/>
        <v>11</v>
      </c>
      <c r="C13" s="2">
        <v>4.6810974E7</v>
      </c>
      <c r="D13" s="2">
        <v>2.4362161E7</v>
      </c>
      <c r="E13" s="2">
        <v>1.0427297E7</v>
      </c>
      <c r="F13" s="2">
        <v>9917129.0</v>
      </c>
      <c r="G13" s="2">
        <v>1.0265385E7</v>
      </c>
    </row>
    <row r="14">
      <c r="B14" s="4">
        <f t="shared" si="1"/>
        <v>12</v>
      </c>
      <c r="C14" s="2">
        <v>4.9371088E7</v>
      </c>
      <c r="D14" s="2">
        <v>2.295068E7</v>
      </c>
      <c r="E14" s="2">
        <v>1.0325032E7</v>
      </c>
      <c r="F14" s="2">
        <v>9056364.0</v>
      </c>
      <c r="G14" s="2">
        <v>9862164.0</v>
      </c>
    </row>
    <row r="15">
      <c r="B15" s="4">
        <f t="shared" si="1"/>
        <v>13</v>
      </c>
      <c r="C15" s="2">
        <v>4.700074E7</v>
      </c>
      <c r="D15" s="2">
        <v>2.188223E7</v>
      </c>
      <c r="E15" s="2">
        <v>9988047.0</v>
      </c>
      <c r="F15" s="2">
        <v>9251913.0</v>
      </c>
      <c r="G15" s="2">
        <v>1.0436955E7</v>
      </c>
    </row>
    <row r="16">
      <c r="B16" s="4">
        <f t="shared" si="1"/>
        <v>14</v>
      </c>
      <c r="C16" s="2">
        <v>4.7860198E7</v>
      </c>
      <c r="D16" s="2">
        <v>2.3146493E7</v>
      </c>
      <c r="E16" s="2">
        <v>1.0697327E7</v>
      </c>
      <c r="F16" s="2">
        <v>9235520.0</v>
      </c>
      <c r="G16" s="2">
        <v>9865539.0</v>
      </c>
    </row>
    <row r="17">
      <c r="B17" s="4">
        <f t="shared" si="1"/>
        <v>15</v>
      </c>
      <c r="C17" s="2">
        <v>4.9181804E7</v>
      </c>
      <c r="D17" s="2">
        <v>2.2828489E7</v>
      </c>
      <c r="E17" s="2">
        <v>1.153305E7</v>
      </c>
      <c r="F17" s="2">
        <v>9891553.0</v>
      </c>
      <c r="G17" s="2">
        <v>1.0201048E7</v>
      </c>
    </row>
    <row r="18">
      <c r="B18" s="4">
        <f t="shared" si="1"/>
        <v>16</v>
      </c>
      <c r="C18" s="2">
        <v>4.9670737E7</v>
      </c>
      <c r="D18" s="2">
        <v>2.4105366E7</v>
      </c>
      <c r="E18" s="2">
        <v>1.028948E7</v>
      </c>
      <c r="F18" s="2">
        <v>1.0363745E7</v>
      </c>
      <c r="G18" s="2">
        <v>9347915.0</v>
      </c>
    </row>
    <row r="19">
      <c r="B19" s="4">
        <f t="shared" si="1"/>
        <v>17</v>
      </c>
      <c r="C19" s="2">
        <v>4.7232725E7</v>
      </c>
      <c r="D19" s="2">
        <v>2.2858776E7</v>
      </c>
      <c r="E19" s="2">
        <v>1.1779179E7</v>
      </c>
      <c r="F19" s="2">
        <v>1.0394186E7</v>
      </c>
      <c r="G19" s="2">
        <v>8863611.0</v>
      </c>
    </row>
    <row r="20">
      <c r="B20" s="4">
        <f t="shared" si="1"/>
        <v>18</v>
      </c>
      <c r="C20" s="2">
        <v>4.7894593E7</v>
      </c>
      <c r="D20" s="2">
        <v>2.3164182E7</v>
      </c>
      <c r="E20" s="2">
        <v>1.0092686E7</v>
      </c>
      <c r="F20" s="2">
        <v>9614769.0</v>
      </c>
      <c r="G20" s="2">
        <v>9110425.0</v>
      </c>
    </row>
    <row r="21">
      <c r="B21" s="4">
        <f t="shared" si="1"/>
        <v>19</v>
      </c>
      <c r="C21" s="2">
        <v>4.8056375E7</v>
      </c>
      <c r="D21" s="2">
        <v>2.4282946E7</v>
      </c>
      <c r="E21" s="2">
        <v>1.1092455E7</v>
      </c>
      <c r="F21" s="2">
        <v>1.0390038E7</v>
      </c>
      <c r="G21" s="2">
        <v>1.044056E7</v>
      </c>
    </row>
    <row r="22">
      <c r="B22" s="4">
        <f t="shared" si="1"/>
        <v>20</v>
      </c>
      <c r="C22" s="2">
        <v>4.7189174E7</v>
      </c>
      <c r="D22" s="2">
        <v>2.2981095E7</v>
      </c>
      <c r="E22" s="2">
        <v>1.0756211E7</v>
      </c>
      <c r="F22" s="2">
        <v>9716064.0</v>
      </c>
      <c r="G22" s="2">
        <v>1.0009224E7</v>
      </c>
    </row>
    <row r="23">
      <c r="B23" s="4">
        <f t="shared" si="1"/>
        <v>21</v>
      </c>
      <c r="C23" s="2">
        <v>4.4857677E7</v>
      </c>
      <c r="D23" s="2">
        <v>2.195729E7</v>
      </c>
      <c r="E23" s="2">
        <v>1.0489598E7</v>
      </c>
      <c r="F23" s="2">
        <v>9790413.0</v>
      </c>
      <c r="G23" s="2">
        <v>9473442.0</v>
      </c>
    </row>
    <row r="24">
      <c r="B24" s="4">
        <f t="shared" si="1"/>
        <v>22</v>
      </c>
      <c r="C24" s="2">
        <v>4.5260925E7</v>
      </c>
      <c r="D24" s="2">
        <v>2.3295974E7</v>
      </c>
      <c r="E24" s="2">
        <v>1.0563454E7</v>
      </c>
      <c r="F24" s="2">
        <v>1.0367429E7</v>
      </c>
      <c r="G24" s="2">
        <v>8891684.0</v>
      </c>
    </row>
    <row r="25">
      <c r="B25" s="4">
        <f t="shared" si="1"/>
        <v>23</v>
      </c>
      <c r="C25" s="2">
        <v>4.9796532E7</v>
      </c>
      <c r="D25" s="2">
        <v>2.2677201E7</v>
      </c>
      <c r="E25" s="2">
        <v>1.0684858E7</v>
      </c>
      <c r="F25" s="2">
        <v>1.0377263E7</v>
      </c>
      <c r="G25" s="2">
        <v>9251118.0</v>
      </c>
    </row>
    <row r="26">
      <c r="B26" s="4">
        <f t="shared" si="1"/>
        <v>24</v>
      </c>
      <c r="C26" s="2">
        <v>4.7182425E7</v>
      </c>
      <c r="D26" s="2">
        <v>2.1335863E7</v>
      </c>
      <c r="E26" s="2">
        <v>1.0880684E7</v>
      </c>
      <c r="F26" s="2">
        <v>1.0037101E7</v>
      </c>
      <c r="G26" s="2">
        <v>8915876.0</v>
      </c>
    </row>
    <row r="27">
      <c r="B27" s="4">
        <f t="shared" si="1"/>
        <v>25</v>
      </c>
      <c r="C27" s="2">
        <v>4.9035405E7</v>
      </c>
      <c r="D27" s="2">
        <v>2.2860881E7</v>
      </c>
      <c r="E27" s="2">
        <v>1.0773587E7</v>
      </c>
      <c r="F27" s="2">
        <v>1.0600561E7</v>
      </c>
      <c r="G27" s="2">
        <v>1.047349E7</v>
      </c>
    </row>
    <row r="28">
      <c r="B28" s="4">
        <f t="shared" si="1"/>
        <v>26</v>
      </c>
      <c r="C28" s="2">
        <v>4.4358047E7</v>
      </c>
      <c r="D28" s="2">
        <v>2.3104531E7</v>
      </c>
      <c r="E28" s="2">
        <v>1.1292808E7</v>
      </c>
      <c r="F28" s="2">
        <v>8939350.0</v>
      </c>
      <c r="G28" s="2">
        <v>1.0056176E7</v>
      </c>
    </row>
    <row r="29">
      <c r="B29" s="4">
        <f t="shared" si="1"/>
        <v>27</v>
      </c>
      <c r="C29" s="2">
        <v>4.9565087E7</v>
      </c>
      <c r="D29" s="2">
        <v>2.1510452E7</v>
      </c>
      <c r="E29" s="2">
        <v>1.0261202E7</v>
      </c>
      <c r="F29" s="2">
        <v>8948791.0</v>
      </c>
      <c r="G29" s="2">
        <v>9489941.0</v>
      </c>
    </row>
    <row r="30">
      <c r="B30" s="4">
        <f t="shared" si="1"/>
        <v>28</v>
      </c>
      <c r="C30" s="2">
        <v>4.6793021E7</v>
      </c>
      <c r="D30" s="2">
        <v>2.3875642E7</v>
      </c>
      <c r="E30" s="2">
        <v>1.0711438E7</v>
      </c>
      <c r="F30" s="2">
        <v>1.0653846E7</v>
      </c>
      <c r="G30" s="2">
        <v>1.0043902E7</v>
      </c>
    </row>
    <row r="31">
      <c r="B31" s="4">
        <f t="shared" si="1"/>
        <v>29</v>
      </c>
      <c r="C31" s="2">
        <v>4.4311801E7</v>
      </c>
      <c r="D31" s="2">
        <v>2.2420558E7</v>
      </c>
      <c r="E31" s="2">
        <v>1.1148806E7</v>
      </c>
      <c r="F31" s="2">
        <v>1.0224617E7</v>
      </c>
      <c r="G31" s="2">
        <v>1.030881E7</v>
      </c>
    </row>
    <row r="32">
      <c r="B32" s="4">
        <f t="shared" si="1"/>
        <v>30</v>
      </c>
      <c r="C32" s="2">
        <v>5.0137327E7</v>
      </c>
      <c r="D32" s="2">
        <v>2.3197769E7</v>
      </c>
      <c r="E32" s="2">
        <v>1.0611952E7</v>
      </c>
      <c r="F32" s="2">
        <v>1.0481571E7</v>
      </c>
      <c r="G32" s="2">
        <v>1.0386523E7</v>
      </c>
    </row>
    <row r="33">
      <c r="B33" s="2" t="s">
        <v>15</v>
      </c>
      <c r="C33" s="1">
        <f t="shared" ref="C33:G33" si="2">AVERAGE(C3:C32)</f>
        <v>47448116.1</v>
      </c>
      <c r="D33" s="1">
        <f t="shared" si="2"/>
        <v>23221609.87</v>
      </c>
      <c r="E33" s="1">
        <f t="shared" si="2"/>
        <v>10772967.97</v>
      </c>
      <c r="F33" s="1">
        <f t="shared" si="2"/>
        <v>9958186.7</v>
      </c>
      <c r="G33" s="1">
        <f t="shared" si="2"/>
        <v>9854627.9</v>
      </c>
    </row>
    <row r="34">
      <c r="B34" s="2" t="s">
        <v>16</v>
      </c>
      <c r="C34" s="1">
        <f t="shared" ref="C34:G34" si="3">STDEV(C3:C32)</f>
        <v>1907043.169</v>
      </c>
      <c r="D34" s="1">
        <f t="shared" si="3"/>
        <v>1067084.901</v>
      </c>
      <c r="E34" s="1">
        <f t="shared" si="3"/>
        <v>483124.7649</v>
      </c>
      <c r="F34" s="1">
        <f t="shared" si="3"/>
        <v>589194.9004</v>
      </c>
      <c r="G34" s="1">
        <f t="shared" si="3"/>
        <v>504465.4243</v>
      </c>
    </row>
    <row r="36">
      <c r="B36" s="2" t="s">
        <v>6</v>
      </c>
      <c r="C36" s="2" t="s">
        <v>61</v>
      </c>
      <c r="D36" s="2" t="s">
        <v>112</v>
      </c>
    </row>
    <row r="37">
      <c r="B37" s="1">
        <f>STDEV(C3:C32)</f>
        <v>1907043.169</v>
      </c>
      <c r="C37" s="1">
        <f>AVERAGE(C3:C32)</f>
        <v>47448116.1</v>
      </c>
      <c r="D37" s="2">
        <v>1.0</v>
      </c>
      <c r="F37" s="3" t="s">
        <v>113</v>
      </c>
    </row>
    <row r="38">
      <c r="B38" s="1">
        <f>STDEV(D3:D32)</f>
        <v>1067084.901</v>
      </c>
      <c r="C38" s="1">
        <f>AVERAGE(D3:D32)</f>
        <v>23221609.87</v>
      </c>
      <c r="D38" s="2">
        <v>2.0</v>
      </c>
    </row>
    <row r="39">
      <c r="B39" s="1">
        <f>STDEV(E3:E32)</f>
        <v>483124.7649</v>
      </c>
      <c r="C39" s="1">
        <f>AVERAGE(E3:E32)</f>
        <v>10772967.97</v>
      </c>
      <c r="D39" s="2">
        <v>4.0</v>
      </c>
    </row>
    <row r="40">
      <c r="B40" s="1">
        <f>STDEV(F3:F32)</f>
        <v>589194.9004</v>
      </c>
      <c r="C40" s="1">
        <f>AVERAGE(F3:F32)</f>
        <v>9958186.7</v>
      </c>
      <c r="D40" s="2">
        <v>8.0</v>
      </c>
    </row>
    <row r="41">
      <c r="B41" s="1">
        <f>STDEV(G3:G32)</f>
        <v>504465.4243</v>
      </c>
      <c r="C41" s="1">
        <f>AVERAGE(G3:G32)</f>
        <v>9854627.9</v>
      </c>
      <c r="D41" s="2">
        <v>12.0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114</v>
      </c>
      <c r="E3" s="6" t="s">
        <v>115</v>
      </c>
      <c r="F3" s="6" t="s">
        <v>116</v>
      </c>
      <c r="G3" s="6" t="s">
        <v>117</v>
      </c>
      <c r="H3" s="6" t="s">
        <v>118</v>
      </c>
    </row>
    <row r="4">
      <c r="C4" s="4">
        <v>1.0</v>
      </c>
      <c r="D4" s="6">
        <v>143586.0</v>
      </c>
      <c r="E4" s="6">
        <v>96873.0</v>
      </c>
      <c r="F4" s="6">
        <v>63925.0</v>
      </c>
      <c r="G4" s="6">
        <v>60887.0</v>
      </c>
      <c r="H4" s="6">
        <v>60513.0</v>
      </c>
    </row>
    <row r="5">
      <c r="C5" s="4">
        <f t="shared" ref="C5:C33" si="1">C4+1</f>
        <v>2</v>
      </c>
      <c r="D5" s="6">
        <v>142683.0</v>
      </c>
      <c r="E5" s="6">
        <v>83712.0</v>
      </c>
      <c r="F5" s="6">
        <v>61677.0</v>
      </c>
      <c r="G5" s="6">
        <v>58177.0</v>
      </c>
      <c r="H5" s="6">
        <v>61661.0</v>
      </c>
    </row>
    <row r="6">
      <c r="C6" s="4">
        <f t="shared" si="1"/>
        <v>3</v>
      </c>
      <c r="D6" s="6">
        <v>144002.0</v>
      </c>
      <c r="E6" s="6">
        <v>82759.0</v>
      </c>
      <c r="F6" s="6">
        <v>69154.0</v>
      </c>
      <c r="G6" s="6">
        <v>55587.0</v>
      </c>
      <c r="H6" s="6">
        <v>54306.0</v>
      </c>
    </row>
    <row r="7">
      <c r="C7" s="4">
        <f t="shared" si="1"/>
        <v>4</v>
      </c>
      <c r="D7" s="6">
        <v>111409.0</v>
      </c>
      <c r="E7" s="6">
        <v>100906.0</v>
      </c>
      <c r="F7" s="6">
        <v>57236.0</v>
      </c>
      <c r="G7" s="6">
        <v>62473.0</v>
      </c>
      <c r="H7" s="6">
        <v>56523.0</v>
      </c>
    </row>
    <row r="8">
      <c r="C8" s="4">
        <f t="shared" si="1"/>
        <v>5</v>
      </c>
      <c r="D8" s="6">
        <v>144646.0</v>
      </c>
      <c r="E8" s="6">
        <v>86837.0</v>
      </c>
      <c r="F8" s="6">
        <v>65145.0</v>
      </c>
      <c r="G8" s="6">
        <v>60223.0</v>
      </c>
      <c r="H8" s="6">
        <v>48720.0</v>
      </c>
    </row>
    <row r="9">
      <c r="C9" s="4">
        <f t="shared" si="1"/>
        <v>6</v>
      </c>
      <c r="D9" s="6">
        <v>136082.0</v>
      </c>
      <c r="E9" s="6">
        <v>106971.0</v>
      </c>
      <c r="F9" s="6">
        <v>66728.0</v>
      </c>
      <c r="G9" s="6">
        <v>59049.0</v>
      </c>
      <c r="H9" s="6">
        <v>59335.0</v>
      </c>
    </row>
    <row r="10">
      <c r="C10" s="4">
        <f t="shared" si="1"/>
        <v>7</v>
      </c>
      <c r="D10" s="6">
        <v>110361.0</v>
      </c>
      <c r="E10" s="6">
        <v>104766.0</v>
      </c>
      <c r="F10" s="6">
        <v>66385.0</v>
      </c>
      <c r="G10" s="6">
        <v>59008.0</v>
      </c>
      <c r="H10" s="6">
        <v>62626.0</v>
      </c>
    </row>
    <row r="11">
      <c r="C11" s="4">
        <f t="shared" si="1"/>
        <v>8</v>
      </c>
      <c r="D11" s="6">
        <v>110193.0</v>
      </c>
      <c r="E11" s="6">
        <v>87376.0</v>
      </c>
      <c r="F11" s="6">
        <v>63432.0</v>
      </c>
      <c r="G11" s="6">
        <v>57963.0</v>
      </c>
      <c r="H11" s="6">
        <v>60245.0</v>
      </c>
    </row>
    <row r="12">
      <c r="C12" s="4">
        <f t="shared" si="1"/>
        <v>9</v>
      </c>
      <c r="D12" s="6">
        <v>140743.0</v>
      </c>
      <c r="E12" s="6">
        <v>104244.0</v>
      </c>
      <c r="F12" s="6">
        <v>65330.0</v>
      </c>
      <c r="G12" s="6">
        <v>61296.0</v>
      </c>
      <c r="H12" s="6">
        <v>70573.0</v>
      </c>
    </row>
    <row r="13">
      <c r="C13" s="4">
        <f t="shared" si="1"/>
        <v>10</v>
      </c>
      <c r="D13" s="6">
        <v>142575.0</v>
      </c>
      <c r="E13" s="6">
        <v>105786.0</v>
      </c>
      <c r="F13" s="6">
        <v>65386.0</v>
      </c>
      <c r="G13" s="6">
        <v>57881.0</v>
      </c>
      <c r="H13" s="6">
        <v>92468.0</v>
      </c>
    </row>
    <row r="14">
      <c r="C14" s="4">
        <f t="shared" si="1"/>
        <v>11</v>
      </c>
      <c r="D14" s="6">
        <v>112934.0</v>
      </c>
      <c r="E14" s="6">
        <v>113149.0</v>
      </c>
      <c r="F14" s="6">
        <v>66139.0</v>
      </c>
      <c r="G14" s="6">
        <v>61103.0</v>
      </c>
      <c r="H14" s="6">
        <v>85886.0</v>
      </c>
    </row>
    <row r="15">
      <c r="C15" s="4">
        <f t="shared" si="1"/>
        <v>12</v>
      </c>
      <c r="D15" s="6">
        <v>114060.0</v>
      </c>
      <c r="E15" s="6">
        <v>98806.0</v>
      </c>
      <c r="F15" s="6">
        <v>65354.0</v>
      </c>
      <c r="G15" s="6">
        <v>57526.0</v>
      </c>
      <c r="H15" s="6">
        <v>63826.0</v>
      </c>
    </row>
    <row r="16">
      <c r="C16" s="4">
        <f t="shared" si="1"/>
        <v>13</v>
      </c>
      <c r="D16" s="6">
        <v>142713.0</v>
      </c>
      <c r="E16" s="6">
        <v>107052.0</v>
      </c>
      <c r="F16" s="6">
        <v>68319.0</v>
      </c>
      <c r="G16" s="6">
        <v>65809.0</v>
      </c>
      <c r="H16" s="6">
        <v>58294.0</v>
      </c>
    </row>
    <row r="17">
      <c r="C17" s="4">
        <f t="shared" si="1"/>
        <v>14</v>
      </c>
      <c r="D17" s="6">
        <v>140997.0</v>
      </c>
      <c r="E17" s="6">
        <v>111517.0</v>
      </c>
      <c r="F17" s="6">
        <v>61950.0</v>
      </c>
      <c r="G17" s="6">
        <v>61008.0</v>
      </c>
      <c r="H17" s="6">
        <v>75026.0</v>
      </c>
    </row>
    <row r="18">
      <c r="C18" s="4">
        <f t="shared" si="1"/>
        <v>15</v>
      </c>
      <c r="D18" s="6">
        <v>149619.0</v>
      </c>
      <c r="E18" s="6">
        <v>106335.0</v>
      </c>
      <c r="F18" s="6">
        <v>62541.0</v>
      </c>
      <c r="G18" s="6">
        <v>55259.0</v>
      </c>
      <c r="H18" s="6">
        <v>72610.0</v>
      </c>
    </row>
    <row r="19">
      <c r="C19" s="4">
        <f t="shared" si="1"/>
        <v>16</v>
      </c>
      <c r="D19" s="6">
        <v>111635.0</v>
      </c>
      <c r="E19" s="6">
        <v>83337.0</v>
      </c>
      <c r="F19" s="6">
        <v>66053.0</v>
      </c>
      <c r="G19" s="6">
        <v>50503.0</v>
      </c>
      <c r="H19" s="6">
        <v>65395.0</v>
      </c>
    </row>
    <row r="20">
      <c r="C20" s="4">
        <f t="shared" si="1"/>
        <v>17</v>
      </c>
      <c r="D20" s="6">
        <v>114828.0</v>
      </c>
      <c r="E20" s="6">
        <v>87529.0</v>
      </c>
      <c r="F20" s="6">
        <v>65392.0</v>
      </c>
      <c r="G20" s="6">
        <v>65074.0</v>
      </c>
      <c r="H20" s="6">
        <v>70333.0</v>
      </c>
    </row>
    <row r="21">
      <c r="C21" s="4">
        <f t="shared" si="1"/>
        <v>18</v>
      </c>
      <c r="D21" s="6">
        <v>151729.0</v>
      </c>
      <c r="E21" s="6">
        <v>109846.0</v>
      </c>
      <c r="F21" s="6">
        <v>65811.0</v>
      </c>
      <c r="G21" s="6">
        <v>57550.0</v>
      </c>
      <c r="H21" s="6">
        <v>90261.0</v>
      </c>
    </row>
    <row r="22">
      <c r="C22" s="4">
        <f t="shared" si="1"/>
        <v>19</v>
      </c>
      <c r="D22" s="6">
        <v>142939.0</v>
      </c>
      <c r="E22" s="6">
        <v>102362.0</v>
      </c>
      <c r="F22" s="6">
        <v>67179.0</v>
      </c>
      <c r="G22" s="6">
        <v>62014.0</v>
      </c>
      <c r="H22" s="6">
        <v>66837.0</v>
      </c>
    </row>
    <row r="23">
      <c r="C23" s="4">
        <f t="shared" si="1"/>
        <v>20</v>
      </c>
      <c r="D23" s="6">
        <v>143113.0</v>
      </c>
      <c r="E23" s="6">
        <v>116135.0</v>
      </c>
      <c r="F23" s="6">
        <v>63684.0</v>
      </c>
      <c r="G23" s="6">
        <v>58312.0</v>
      </c>
      <c r="H23" s="6">
        <v>62126.0</v>
      </c>
    </row>
    <row r="24">
      <c r="C24" s="4">
        <f t="shared" si="1"/>
        <v>21</v>
      </c>
      <c r="D24" s="6">
        <v>111606.0</v>
      </c>
      <c r="E24" s="6">
        <v>110996.0</v>
      </c>
      <c r="F24" s="6">
        <v>64425.0</v>
      </c>
      <c r="G24" s="6">
        <v>54649.0</v>
      </c>
      <c r="H24" s="6">
        <v>57403.0</v>
      </c>
    </row>
    <row r="25">
      <c r="C25" s="4">
        <f t="shared" si="1"/>
        <v>22</v>
      </c>
      <c r="D25" s="6">
        <v>113708.0</v>
      </c>
      <c r="E25" s="6">
        <v>98250.0</v>
      </c>
      <c r="F25" s="6">
        <v>75639.0</v>
      </c>
      <c r="G25" s="6">
        <v>57938.0</v>
      </c>
      <c r="H25" s="6">
        <v>67273.0</v>
      </c>
    </row>
    <row r="26">
      <c r="C26" s="4">
        <f t="shared" si="1"/>
        <v>23</v>
      </c>
      <c r="D26" s="6">
        <v>129675.0</v>
      </c>
      <c r="E26" s="6">
        <v>97924.0</v>
      </c>
      <c r="F26" s="6">
        <v>66329.0</v>
      </c>
      <c r="G26" s="6">
        <v>57611.0</v>
      </c>
      <c r="H26" s="6">
        <v>72993.0</v>
      </c>
    </row>
    <row r="27">
      <c r="C27" s="4">
        <f t="shared" si="1"/>
        <v>24</v>
      </c>
      <c r="D27" s="6">
        <v>126373.0</v>
      </c>
      <c r="E27" s="6">
        <v>123801.0</v>
      </c>
      <c r="F27" s="6">
        <v>66852.0</v>
      </c>
      <c r="G27" s="6">
        <v>61204.0</v>
      </c>
      <c r="H27" s="6">
        <v>76998.0</v>
      </c>
    </row>
    <row r="28">
      <c r="C28" s="4">
        <f t="shared" si="1"/>
        <v>25</v>
      </c>
      <c r="D28" s="6">
        <v>110560.0</v>
      </c>
      <c r="E28" s="6">
        <v>107046.0</v>
      </c>
      <c r="F28" s="6">
        <v>63544.0</v>
      </c>
      <c r="G28" s="6">
        <v>65506.0</v>
      </c>
      <c r="H28" s="6">
        <v>70482.0</v>
      </c>
    </row>
    <row r="29">
      <c r="C29" s="4">
        <f t="shared" si="1"/>
        <v>26</v>
      </c>
      <c r="D29" s="6">
        <v>120766.0</v>
      </c>
      <c r="E29" s="6">
        <v>106089.0</v>
      </c>
      <c r="F29" s="6">
        <v>64758.0</v>
      </c>
      <c r="G29" s="6">
        <v>60778.0</v>
      </c>
      <c r="H29" s="6">
        <v>69216.0</v>
      </c>
    </row>
    <row r="30">
      <c r="C30" s="4">
        <f t="shared" si="1"/>
        <v>27</v>
      </c>
      <c r="D30" s="6">
        <v>138547.0</v>
      </c>
      <c r="E30" s="6">
        <v>103297.0</v>
      </c>
      <c r="F30" s="6">
        <v>65292.0</v>
      </c>
      <c r="G30" s="6">
        <v>59265.0</v>
      </c>
      <c r="H30" s="6">
        <v>65431.0</v>
      </c>
    </row>
    <row r="31">
      <c r="C31" s="4">
        <f t="shared" si="1"/>
        <v>28</v>
      </c>
      <c r="D31" s="6">
        <v>111890.0</v>
      </c>
      <c r="E31" s="6">
        <v>100813.0</v>
      </c>
      <c r="F31" s="6">
        <v>67102.0</v>
      </c>
      <c r="G31" s="6">
        <v>55674.0</v>
      </c>
      <c r="H31" s="6">
        <v>73487.0</v>
      </c>
    </row>
    <row r="32">
      <c r="C32" s="4">
        <f t="shared" si="1"/>
        <v>29</v>
      </c>
      <c r="D32" s="6">
        <v>113017.0</v>
      </c>
      <c r="E32" s="6">
        <v>102766.0</v>
      </c>
      <c r="F32" s="6">
        <v>62456.0</v>
      </c>
      <c r="G32" s="6">
        <v>53027.0</v>
      </c>
      <c r="H32" s="6">
        <v>70139.0</v>
      </c>
    </row>
    <row r="33">
      <c r="C33" s="4">
        <f t="shared" si="1"/>
        <v>30</v>
      </c>
      <c r="D33" s="6">
        <v>181630.0</v>
      </c>
      <c r="E33" s="6">
        <v>106356.0</v>
      </c>
      <c r="F33" s="6">
        <v>66857.0</v>
      </c>
      <c r="G33" s="6">
        <v>62768.0</v>
      </c>
      <c r="H33" s="6">
        <v>58045.0</v>
      </c>
    </row>
    <row r="34">
      <c r="C34" s="2" t="s">
        <v>15</v>
      </c>
      <c r="D34" s="1">
        <f t="shared" ref="D34:H34" si="2">AVERAGE(D4:D33)</f>
        <v>130287.3</v>
      </c>
      <c r="E34" s="1">
        <f t="shared" si="2"/>
        <v>101787.8667</v>
      </c>
      <c r="F34" s="1">
        <f t="shared" si="2"/>
        <v>65335.8</v>
      </c>
      <c r="G34" s="1">
        <f t="shared" si="2"/>
        <v>59170.73333</v>
      </c>
      <c r="H34" s="1">
        <f t="shared" si="2"/>
        <v>67301.03333</v>
      </c>
    </row>
    <row r="35">
      <c r="C35" s="2" t="s">
        <v>16</v>
      </c>
      <c r="D35" s="1">
        <f t="shared" ref="D35:H35" si="3">STDEV(D4:D33)</f>
        <v>17825.56626</v>
      </c>
      <c r="E35" s="1">
        <f t="shared" si="3"/>
        <v>10114.22334</v>
      </c>
      <c r="F35" s="1">
        <f t="shared" si="3"/>
        <v>3025.737783</v>
      </c>
      <c r="G35" s="1">
        <f t="shared" si="3"/>
        <v>3529.437934</v>
      </c>
      <c r="H35" s="1">
        <f t="shared" si="3"/>
        <v>10093.50545</v>
      </c>
    </row>
    <row r="37">
      <c r="C37" s="2" t="s">
        <v>17</v>
      </c>
      <c r="D37" s="2" t="s">
        <v>8</v>
      </c>
      <c r="E37" s="2" t="s">
        <v>49</v>
      </c>
    </row>
    <row r="38">
      <c r="C38" s="1">
        <f>STDEV(D4:D33)</f>
        <v>17825.56626</v>
      </c>
      <c r="D38" s="1">
        <f>AVERAGE(D4:D33)</f>
        <v>130287.3</v>
      </c>
      <c r="E38" s="2">
        <v>1.0</v>
      </c>
      <c r="F38" s="3" t="s">
        <v>119</v>
      </c>
    </row>
    <row r="39">
      <c r="C39" s="1">
        <f>STDEV(E4:E33)</f>
        <v>10114.22334</v>
      </c>
      <c r="D39" s="1">
        <f>AVERAGE(E4:E33)</f>
        <v>101787.8667</v>
      </c>
      <c r="E39" s="2">
        <v>2.0</v>
      </c>
    </row>
    <row r="40">
      <c r="C40" s="1">
        <f>STDEV(F4:F33)</f>
        <v>3025.737783</v>
      </c>
      <c r="D40" s="1">
        <f>AVERAGE(F4:F33)</f>
        <v>65335.8</v>
      </c>
      <c r="E40" s="2">
        <v>4.0</v>
      </c>
    </row>
    <row r="41">
      <c r="C41" s="1">
        <f>STDEV(G4:G33)</f>
        <v>3529.437934</v>
      </c>
      <c r="D41" s="1">
        <f>AVERAGE(G4:G33)</f>
        <v>59170.73333</v>
      </c>
      <c r="E41" s="2">
        <v>8.0</v>
      </c>
    </row>
    <row r="42">
      <c r="C42" s="1">
        <f>STDEV(H4:H33)</f>
        <v>10093.50545</v>
      </c>
      <c r="D42" s="1">
        <f>AVERAGE(H4:H33)</f>
        <v>67301.03333</v>
      </c>
      <c r="E42" s="2">
        <v>12.0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120</v>
      </c>
      <c r="E3" s="6" t="s">
        <v>121</v>
      </c>
      <c r="F3" s="6" t="s">
        <v>122</v>
      </c>
      <c r="G3" s="6" t="s">
        <v>123</v>
      </c>
      <c r="H3" s="6" t="s">
        <v>124</v>
      </c>
    </row>
    <row r="4">
      <c r="C4" s="4">
        <v>1.0</v>
      </c>
      <c r="D4" s="6">
        <v>309339.0</v>
      </c>
      <c r="E4" s="6">
        <v>169763.0</v>
      </c>
      <c r="F4" s="6">
        <v>146814.0</v>
      </c>
      <c r="G4" s="6">
        <v>128492.0</v>
      </c>
      <c r="H4" s="6">
        <v>127791.0</v>
      </c>
    </row>
    <row r="5">
      <c r="C5" s="4">
        <f t="shared" ref="C5:C33" si="1">C4+1</f>
        <v>2</v>
      </c>
      <c r="D5" s="6">
        <v>331640.0</v>
      </c>
      <c r="E5" s="6">
        <v>174973.0</v>
      </c>
      <c r="F5" s="6">
        <v>132190.0</v>
      </c>
      <c r="G5" s="6">
        <v>129816.0</v>
      </c>
      <c r="H5" s="6">
        <v>121613.0</v>
      </c>
    </row>
    <row r="6">
      <c r="C6" s="4">
        <f t="shared" si="1"/>
        <v>3</v>
      </c>
      <c r="D6" s="6">
        <v>326269.0</v>
      </c>
      <c r="E6" s="6">
        <v>364673.0</v>
      </c>
      <c r="F6" s="6">
        <v>163385.0</v>
      </c>
      <c r="G6" s="6">
        <v>119637.0</v>
      </c>
      <c r="H6" s="6">
        <v>120571.0</v>
      </c>
    </row>
    <row r="7">
      <c r="C7" s="4">
        <f t="shared" si="1"/>
        <v>4</v>
      </c>
      <c r="D7" s="6">
        <v>335875.0</v>
      </c>
      <c r="E7" s="6">
        <v>216123.0</v>
      </c>
      <c r="F7" s="6">
        <v>134497.0</v>
      </c>
      <c r="G7" s="6">
        <v>131311.0</v>
      </c>
      <c r="H7" s="6">
        <v>132153.0</v>
      </c>
    </row>
    <row r="8">
      <c r="C8" s="4">
        <f t="shared" si="1"/>
        <v>5</v>
      </c>
      <c r="D8" s="6">
        <v>329278.0</v>
      </c>
      <c r="E8" s="6">
        <v>210055.0</v>
      </c>
      <c r="F8" s="6">
        <v>153566.0</v>
      </c>
      <c r="G8" s="6">
        <v>145835.0</v>
      </c>
      <c r="H8" s="6">
        <v>136801.0</v>
      </c>
    </row>
    <row r="9">
      <c r="C9" s="4">
        <f t="shared" si="1"/>
        <v>6</v>
      </c>
      <c r="D9" s="6">
        <v>306486.0</v>
      </c>
      <c r="E9" s="6">
        <v>194718.0</v>
      </c>
      <c r="F9" s="6">
        <v>155454.0</v>
      </c>
      <c r="G9" s="6">
        <v>119190.0</v>
      </c>
      <c r="H9" s="6">
        <v>123772.0</v>
      </c>
    </row>
    <row r="10">
      <c r="C10" s="4">
        <f t="shared" si="1"/>
        <v>7</v>
      </c>
      <c r="D10" s="6">
        <v>311238.0</v>
      </c>
      <c r="E10" s="6">
        <v>208837.0</v>
      </c>
      <c r="F10" s="6">
        <v>159909.0</v>
      </c>
      <c r="G10" s="6">
        <v>117779.0</v>
      </c>
      <c r="H10" s="6">
        <v>134867.0</v>
      </c>
    </row>
    <row r="11">
      <c r="C11" s="4">
        <f t="shared" si="1"/>
        <v>8</v>
      </c>
      <c r="D11" s="6">
        <v>327151.0</v>
      </c>
      <c r="E11" s="6">
        <v>236970.0</v>
      </c>
      <c r="F11" s="6">
        <v>145058.0</v>
      </c>
      <c r="G11" s="6">
        <v>120862.0</v>
      </c>
      <c r="H11" s="6">
        <v>116158.0</v>
      </c>
    </row>
    <row r="12">
      <c r="C12" s="4">
        <f t="shared" si="1"/>
        <v>9</v>
      </c>
      <c r="D12" s="6">
        <v>325527.0</v>
      </c>
      <c r="E12" s="6">
        <v>211716.0</v>
      </c>
      <c r="F12" s="6">
        <v>136789.0</v>
      </c>
      <c r="G12" s="6">
        <v>143298.0</v>
      </c>
      <c r="H12" s="6">
        <v>117026.0</v>
      </c>
    </row>
    <row r="13">
      <c r="C13" s="4">
        <f t="shared" si="1"/>
        <v>10</v>
      </c>
      <c r="D13" s="6">
        <v>349002.0</v>
      </c>
      <c r="E13" s="6">
        <v>259828.0</v>
      </c>
      <c r="F13" s="6">
        <v>135032.0</v>
      </c>
      <c r="G13" s="6">
        <v>142722.0</v>
      </c>
      <c r="H13" s="6">
        <v>124007.0</v>
      </c>
    </row>
    <row r="14">
      <c r="C14" s="4">
        <f t="shared" si="1"/>
        <v>11</v>
      </c>
      <c r="D14" s="6">
        <v>327581.0</v>
      </c>
      <c r="E14" s="6">
        <v>214418.0</v>
      </c>
      <c r="F14" s="6">
        <v>136636.0</v>
      </c>
      <c r="G14" s="6">
        <v>133209.0</v>
      </c>
      <c r="H14" s="6">
        <v>116702.0</v>
      </c>
    </row>
    <row r="15">
      <c r="C15" s="4">
        <f t="shared" si="1"/>
        <v>12</v>
      </c>
      <c r="D15" s="6">
        <v>306053.0</v>
      </c>
      <c r="E15" s="6">
        <v>212919.0</v>
      </c>
      <c r="F15" s="6">
        <v>143543.0</v>
      </c>
      <c r="G15" s="6">
        <v>125691.0</v>
      </c>
      <c r="H15" s="6">
        <v>124280.0</v>
      </c>
    </row>
    <row r="16">
      <c r="C16" s="4">
        <f t="shared" si="1"/>
        <v>13</v>
      </c>
      <c r="D16" s="6">
        <v>331039.0</v>
      </c>
      <c r="E16" s="6">
        <v>184860.0</v>
      </c>
      <c r="F16" s="6">
        <v>136468.0</v>
      </c>
      <c r="G16" s="6">
        <v>119623.0</v>
      </c>
      <c r="H16" s="6">
        <v>117783.0</v>
      </c>
    </row>
    <row r="17">
      <c r="C17" s="4">
        <f t="shared" si="1"/>
        <v>14</v>
      </c>
      <c r="D17" s="6">
        <v>333794.0</v>
      </c>
      <c r="E17" s="6">
        <v>206228.0</v>
      </c>
      <c r="F17" s="6">
        <v>154942.0</v>
      </c>
      <c r="G17" s="6">
        <v>121087.0</v>
      </c>
      <c r="H17" s="6">
        <v>113645.0</v>
      </c>
    </row>
    <row r="18">
      <c r="C18" s="4">
        <f t="shared" si="1"/>
        <v>15</v>
      </c>
      <c r="D18" s="6">
        <v>315364.0</v>
      </c>
      <c r="E18" s="6">
        <v>182518.0</v>
      </c>
      <c r="F18" s="6">
        <v>161923.0</v>
      </c>
      <c r="G18" s="6">
        <v>117407.0</v>
      </c>
      <c r="H18" s="6">
        <v>121408.0</v>
      </c>
    </row>
    <row r="19">
      <c r="C19" s="4">
        <f t="shared" si="1"/>
        <v>16</v>
      </c>
      <c r="D19" s="6">
        <v>379082.0</v>
      </c>
      <c r="E19" s="6">
        <v>208110.0</v>
      </c>
      <c r="F19" s="6">
        <v>131714.0</v>
      </c>
      <c r="G19" s="6">
        <v>119174.0</v>
      </c>
      <c r="H19" s="6">
        <v>110633.0</v>
      </c>
    </row>
    <row r="20">
      <c r="C20" s="4">
        <f t="shared" si="1"/>
        <v>17</v>
      </c>
      <c r="D20" s="6">
        <v>328111.0</v>
      </c>
      <c r="E20" s="6">
        <v>211662.0</v>
      </c>
      <c r="F20" s="6">
        <v>147365.0</v>
      </c>
      <c r="G20" s="6">
        <v>120853.0</v>
      </c>
      <c r="H20" s="6">
        <v>126599.0</v>
      </c>
    </row>
    <row r="21">
      <c r="C21" s="4">
        <f t="shared" si="1"/>
        <v>18</v>
      </c>
      <c r="D21" s="6">
        <v>403323.0</v>
      </c>
      <c r="E21" s="6">
        <v>207337.0</v>
      </c>
      <c r="F21" s="6">
        <v>130975.0</v>
      </c>
      <c r="G21" s="6">
        <v>120087.0</v>
      </c>
      <c r="H21" s="6">
        <v>107036.0</v>
      </c>
    </row>
    <row r="22">
      <c r="C22" s="4">
        <f t="shared" si="1"/>
        <v>19</v>
      </c>
      <c r="D22" s="6">
        <v>325822.0</v>
      </c>
      <c r="E22" s="6">
        <v>235104.0</v>
      </c>
      <c r="F22" s="6">
        <v>130828.0</v>
      </c>
      <c r="G22" s="6">
        <v>129832.0</v>
      </c>
      <c r="H22" s="6">
        <v>120885.0</v>
      </c>
    </row>
    <row r="23">
      <c r="C23" s="4">
        <f t="shared" si="1"/>
        <v>20</v>
      </c>
      <c r="D23" s="6">
        <v>391146.0</v>
      </c>
      <c r="E23" s="6">
        <v>204406.0</v>
      </c>
      <c r="F23" s="6">
        <v>131059.0</v>
      </c>
      <c r="G23" s="6">
        <v>113675.0</v>
      </c>
      <c r="H23" s="6">
        <v>124801.0</v>
      </c>
    </row>
    <row r="24">
      <c r="C24" s="4">
        <f t="shared" si="1"/>
        <v>21</v>
      </c>
      <c r="D24" s="6">
        <v>308709.0</v>
      </c>
      <c r="E24" s="6">
        <v>211715.0</v>
      </c>
      <c r="F24" s="6">
        <v>134958.0</v>
      </c>
      <c r="G24" s="6">
        <v>129646.0</v>
      </c>
      <c r="H24" s="6">
        <v>150696.0</v>
      </c>
    </row>
    <row r="25">
      <c r="C25" s="4">
        <f t="shared" si="1"/>
        <v>22</v>
      </c>
      <c r="D25" s="6">
        <v>365983.0</v>
      </c>
      <c r="E25" s="6">
        <v>203293.0</v>
      </c>
      <c r="F25" s="6">
        <v>126835.0</v>
      </c>
      <c r="G25" s="6">
        <v>122851.0</v>
      </c>
      <c r="H25" s="6">
        <v>116156.0</v>
      </c>
    </row>
    <row r="26">
      <c r="C26" s="4">
        <f t="shared" si="1"/>
        <v>23</v>
      </c>
      <c r="D26" s="6">
        <v>321716.0</v>
      </c>
      <c r="E26" s="6">
        <v>204941.0</v>
      </c>
      <c r="F26" s="6">
        <v>131846.0</v>
      </c>
      <c r="G26" s="6">
        <v>117392.0</v>
      </c>
      <c r="H26" s="6">
        <v>121674.0</v>
      </c>
    </row>
    <row r="27">
      <c r="C27" s="4">
        <f t="shared" si="1"/>
        <v>24</v>
      </c>
      <c r="D27" s="6">
        <v>328050.0</v>
      </c>
      <c r="E27" s="6">
        <v>199409.0</v>
      </c>
      <c r="F27" s="6">
        <v>134093.0</v>
      </c>
      <c r="G27" s="6">
        <v>119478.0</v>
      </c>
      <c r="H27" s="6">
        <v>116631.0</v>
      </c>
    </row>
    <row r="28">
      <c r="C28" s="4">
        <f t="shared" si="1"/>
        <v>25</v>
      </c>
      <c r="D28" s="6">
        <v>338600.0</v>
      </c>
      <c r="E28" s="6">
        <v>209638.0</v>
      </c>
      <c r="F28" s="6">
        <v>138554.0</v>
      </c>
      <c r="G28" s="6">
        <v>132655.0</v>
      </c>
      <c r="H28" s="6">
        <v>121111.0</v>
      </c>
    </row>
    <row r="29">
      <c r="C29" s="4">
        <f t="shared" si="1"/>
        <v>26</v>
      </c>
      <c r="D29" s="6">
        <v>509881.0</v>
      </c>
      <c r="E29" s="6">
        <v>208427.0</v>
      </c>
      <c r="F29" s="6">
        <v>135260.0</v>
      </c>
      <c r="G29" s="6">
        <v>110001.0</v>
      </c>
      <c r="H29" s="6">
        <v>128333.0</v>
      </c>
    </row>
    <row r="30">
      <c r="C30" s="4">
        <f t="shared" si="1"/>
        <v>27</v>
      </c>
      <c r="D30" s="6">
        <v>328450.0</v>
      </c>
      <c r="E30" s="6">
        <v>194533.0</v>
      </c>
      <c r="F30" s="6">
        <v>162893.0</v>
      </c>
      <c r="G30" s="6">
        <v>112409.0</v>
      </c>
      <c r="H30" s="6">
        <v>123628.0</v>
      </c>
    </row>
    <row r="31">
      <c r="C31" s="4">
        <f t="shared" si="1"/>
        <v>28</v>
      </c>
      <c r="D31" s="6">
        <v>412220.0</v>
      </c>
      <c r="E31" s="6">
        <v>203537.0</v>
      </c>
      <c r="F31" s="6">
        <v>140701.0</v>
      </c>
      <c r="G31" s="6">
        <v>132986.0</v>
      </c>
      <c r="H31" s="6">
        <v>118607.0</v>
      </c>
    </row>
    <row r="32">
      <c r="C32" s="4">
        <f t="shared" si="1"/>
        <v>29</v>
      </c>
      <c r="D32" s="6">
        <v>427956.0</v>
      </c>
      <c r="E32" s="6">
        <v>213680.0</v>
      </c>
      <c r="F32" s="6">
        <v>133197.0</v>
      </c>
      <c r="G32" s="6">
        <v>132667.0</v>
      </c>
      <c r="H32" s="6">
        <v>120595.0</v>
      </c>
    </row>
    <row r="33">
      <c r="C33" s="4">
        <f t="shared" si="1"/>
        <v>30</v>
      </c>
      <c r="D33" s="6">
        <v>366976.0</v>
      </c>
      <c r="E33" s="6">
        <v>211906.0</v>
      </c>
      <c r="F33" s="6">
        <v>134570.0</v>
      </c>
      <c r="G33" s="6">
        <v>108478.0</v>
      </c>
      <c r="H33" s="6">
        <v>128871.0</v>
      </c>
    </row>
    <row r="34">
      <c r="C34" s="2" t="s">
        <v>15</v>
      </c>
      <c r="D34" s="1">
        <f t="shared" ref="D34:H34" si="2">AVERAGE(D4:D33)</f>
        <v>346722.0333</v>
      </c>
      <c r="E34" s="1">
        <f t="shared" si="2"/>
        <v>212543.2333</v>
      </c>
      <c r="F34" s="1">
        <f t="shared" si="2"/>
        <v>141368.4667</v>
      </c>
      <c r="G34" s="1">
        <f t="shared" si="2"/>
        <v>124604.7667</v>
      </c>
      <c r="H34" s="1">
        <f t="shared" si="2"/>
        <v>122827.7667</v>
      </c>
    </row>
    <row r="35">
      <c r="C35" s="2" t="s">
        <v>16</v>
      </c>
      <c r="D35" s="1">
        <f t="shared" ref="D35:H35" si="3">STDEV(D4:D33)</f>
        <v>44611.26736</v>
      </c>
      <c r="E35" s="1">
        <f t="shared" si="3"/>
        <v>33554.94095</v>
      </c>
      <c r="F35" s="1">
        <f t="shared" si="3"/>
        <v>11051.38681</v>
      </c>
      <c r="G35" s="1">
        <f t="shared" si="3"/>
        <v>9530.598236</v>
      </c>
      <c r="H35" s="1">
        <f t="shared" si="3"/>
        <v>8436.96347</v>
      </c>
    </row>
    <row r="37">
      <c r="C37" s="2" t="s">
        <v>17</v>
      </c>
      <c r="D37" s="2" t="s">
        <v>61</v>
      </c>
      <c r="E37" s="2" t="s">
        <v>49</v>
      </c>
    </row>
    <row r="38">
      <c r="C38" s="1">
        <f>STDEV(D4:D33)</f>
        <v>44611.26736</v>
      </c>
      <c r="D38" s="1">
        <f>AVERAGE(D4:D33)</f>
        <v>346722.0333</v>
      </c>
      <c r="E38" s="2">
        <v>1.0</v>
      </c>
    </row>
    <row r="39">
      <c r="C39" s="1">
        <f>STDEV(E4:E33)</f>
        <v>33554.94095</v>
      </c>
      <c r="D39" s="1">
        <f>AVERAGE(E4:E33)</f>
        <v>212543.2333</v>
      </c>
      <c r="E39" s="2">
        <v>2.0</v>
      </c>
    </row>
    <row r="40">
      <c r="C40" s="1">
        <f>STDEV(F4:F33)</f>
        <v>11051.38681</v>
      </c>
      <c r="D40" s="1">
        <f>AVERAGE(F4:F33)</f>
        <v>141368.4667</v>
      </c>
      <c r="E40" s="2">
        <v>4.0</v>
      </c>
    </row>
    <row r="41">
      <c r="C41" s="1">
        <f>STDEV(G4:G33)</f>
        <v>9530.598236</v>
      </c>
      <c r="D41" s="1">
        <f>AVERAGE(G4:G33)</f>
        <v>124604.7667</v>
      </c>
      <c r="E41" s="2">
        <v>8.0</v>
      </c>
    </row>
    <row r="42">
      <c r="C42" s="1">
        <f>STDEV(H4:H33)</f>
        <v>8436.96347</v>
      </c>
      <c r="D42" s="1">
        <f>AVERAGE(H4:H33)</f>
        <v>122827.7667</v>
      </c>
      <c r="E42" s="2">
        <v>12.0</v>
      </c>
    </row>
    <row r="44">
      <c r="D44" s="3" t="s">
        <v>125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130</v>
      </c>
    </row>
    <row r="4">
      <c r="C4" s="4">
        <v>1.0</v>
      </c>
      <c r="D4" s="6">
        <v>674769.0</v>
      </c>
      <c r="E4" s="6">
        <v>387571.0</v>
      </c>
      <c r="F4" s="6">
        <v>226661.0</v>
      </c>
      <c r="G4" s="6">
        <v>228026.0</v>
      </c>
      <c r="H4" s="6">
        <v>235638.0</v>
      </c>
    </row>
    <row r="5">
      <c r="C5" s="4">
        <f t="shared" ref="C5:C33" si="1">C4+1</f>
        <v>2</v>
      </c>
      <c r="D5" s="6">
        <v>886766.0</v>
      </c>
      <c r="E5" s="6">
        <v>409467.0</v>
      </c>
      <c r="F5" s="6">
        <v>235279.0</v>
      </c>
      <c r="G5" s="6">
        <v>228394.0</v>
      </c>
      <c r="H5" s="6">
        <v>229566.0</v>
      </c>
    </row>
    <row r="6">
      <c r="C6" s="4">
        <f t="shared" si="1"/>
        <v>3</v>
      </c>
      <c r="D6" s="6">
        <v>931922.0</v>
      </c>
      <c r="E6" s="6">
        <v>386913.0</v>
      </c>
      <c r="F6" s="6">
        <v>224060.0</v>
      </c>
      <c r="G6" s="6">
        <v>206736.0</v>
      </c>
      <c r="H6" s="6">
        <v>214060.0</v>
      </c>
    </row>
    <row r="7">
      <c r="C7" s="4">
        <f t="shared" si="1"/>
        <v>4</v>
      </c>
      <c r="D7" s="6">
        <v>722450.0</v>
      </c>
      <c r="E7" s="6">
        <v>454537.0</v>
      </c>
      <c r="F7" s="6">
        <v>227805.0</v>
      </c>
      <c r="G7" s="6">
        <v>229528.0</v>
      </c>
      <c r="H7" s="6">
        <v>211872.0</v>
      </c>
    </row>
    <row r="8">
      <c r="C8" s="4">
        <f t="shared" si="1"/>
        <v>5</v>
      </c>
      <c r="D8" s="6">
        <v>676227.0</v>
      </c>
      <c r="E8" s="6">
        <v>392476.0</v>
      </c>
      <c r="F8" s="6">
        <v>244849.0</v>
      </c>
      <c r="G8" s="6">
        <v>231081.0</v>
      </c>
      <c r="H8" s="6">
        <v>231102.0</v>
      </c>
    </row>
    <row r="9">
      <c r="C9" s="4">
        <f t="shared" si="1"/>
        <v>6</v>
      </c>
      <c r="D9" s="6">
        <v>717291.0</v>
      </c>
      <c r="E9" s="6">
        <v>409192.0</v>
      </c>
      <c r="F9" s="6">
        <v>228771.0</v>
      </c>
      <c r="G9" s="6">
        <v>205994.0</v>
      </c>
      <c r="H9" s="6">
        <v>222246.0</v>
      </c>
    </row>
    <row r="10">
      <c r="C10" s="4">
        <f t="shared" si="1"/>
        <v>7</v>
      </c>
      <c r="D10" s="6">
        <v>665075.0</v>
      </c>
      <c r="E10" s="6">
        <v>426908.0</v>
      </c>
      <c r="F10" s="6">
        <v>225249.0</v>
      </c>
      <c r="G10" s="6">
        <v>213790.0</v>
      </c>
      <c r="H10" s="6">
        <v>211947.0</v>
      </c>
    </row>
    <row r="11">
      <c r="C11" s="4">
        <f t="shared" si="1"/>
        <v>8</v>
      </c>
      <c r="D11" s="6">
        <v>659590.0</v>
      </c>
      <c r="E11" s="6">
        <v>385072.0</v>
      </c>
      <c r="F11" s="6">
        <v>234156.0</v>
      </c>
      <c r="G11" s="6">
        <v>210833.0</v>
      </c>
      <c r="H11" s="6">
        <v>217939.0</v>
      </c>
    </row>
    <row r="12">
      <c r="C12" s="4">
        <f t="shared" si="1"/>
        <v>9</v>
      </c>
      <c r="D12" s="6">
        <v>682481.0</v>
      </c>
      <c r="E12" s="6">
        <v>384611.0</v>
      </c>
      <c r="F12" s="6">
        <v>222553.0</v>
      </c>
      <c r="G12" s="6">
        <v>211057.0</v>
      </c>
      <c r="H12" s="6">
        <v>212609.0</v>
      </c>
    </row>
    <row r="13">
      <c r="C13" s="4">
        <f t="shared" si="1"/>
        <v>10</v>
      </c>
      <c r="D13" s="6">
        <v>699850.0</v>
      </c>
      <c r="E13" s="6">
        <v>389582.0</v>
      </c>
      <c r="F13" s="6">
        <v>342554.0</v>
      </c>
      <c r="G13" s="6">
        <v>237309.0</v>
      </c>
      <c r="H13" s="6">
        <v>221706.0</v>
      </c>
    </row>
    <row r="14">
      <c r="C14" s="4">
        <f t="shared" si="1"/>
        <v>11</v>
      </c>
      <c r="D14" s="6">
        <v>654238.0</v>
      </c>
      <c r="E14" s="6">
        <v>410954.0</v>
      </c>
      <c r="F14" s="6">
        <v>223603.0</v>
      </c>
      <c r="G14" s="6">
        <v>210696.0</v>
      </c>
      <c r="H14" s="6">
        <v>199284.0</v>
      </c>
    </row>
    <row r="15">
      <c r="C15" s="4">
        <f t="shared" si="1"/>
        <v>12</v>
      </c>
      <c r="D15" s="6">
        <v>725355.0</v>
      </c>
      <c r="E15" s="6">
        <v>404699.0</v>
      </c>
      <c r="F15" s="6">
        <v>266612.0</v>
      </c>
      <c r="G15" s="6">
        <v>216837.0</v>
      </c>
      <c r="H15" s="6">
        <v>210182.0</v>
      </c>
    </row>
    <row r="16">
      <c r="C16" s="4">
        <f t="shared" si="1"/>
        <v>13</v>
      </c>
      <c r="D16" s="6">
        <v>679810.0</v>
      </c>
      <c r="E16" s="6">
        <v>544488.0</v>
      </c>
      <c r="F16" s="6">
        <v>221888.0</v>
      </c>
      <c r="G16" s="6">
        <v>200169.0</v>
      </c>
      <c r="H16" s="6">
        <v>217697.0</v>
      </c>
    </row>
    <row r="17">
      <c r="C17" s="4">
        <f t="shared" si="1"/>
        <v>14</v>
      </c>
      <c r="D17" s="6">
        <v>662746.0</v>
      </c>
      <c r="E17" s="6">
        <v>431845.0</v>
      </c>
      <c r="F17" s="6">
        <v>240615.0</v>
      </c>
      <c r="G17" s="6">
        <v>240473.0</v>
      </c>
      <c r="H17" s="6">
        <v>223888.0</v>
      </c>
    </row>
    <row r="18">
      <c r="C18" s="4">
        <f t="shared" si="1"/>
        <v>15</v>
      </c>
      <c r="D18" s="6">
        <v>664804.0</v>
      </c>
      <c r="E18" s="6">
        <v>441333.0</v>
      </c>
      <c r="F18" s="6">
        <v>230964.0</v>
      </c>
      <c r="G18" s="6">
        <v>216578.0</v>
      </c>
      <c r="H18" s="6">
        <v>213175.0</v>
      </c>
    </row>
    <row r="19">
      <c r="C19" s="4">
        <f t="shared" si="1"/>
        <v>16</v>
      </c>
      <c r="D19" s="6">
        <v>659991.0</v>
      </c>
      <c r="E19" s="6">
        <v>545784.0</v>
      </c>
      <c r="F19" s="6">
        <v>220548.0</v>
      </c>
      <c r="G19" s="6">
        <v>199989.0</v>
      </c>
      <c r="H19" s="6">
        <v>215414.0</v>
      </c>
    </row>
    <row r="20">
      <c r="C20" s="4">
        <f t="shared" si="1"/>
        <v>17</v>
      </c>
      <c r="D20" s="6">
        <v>685113.0</v>
      </c>
      <c r="E20" s="6">
        <v>388823.0</v>
      </c>
      <c r="F20" s="6">
        <v>239753.0</v>
      </c>
      <c r="G20" s="6">
        <v>288043.0</v>
      </c>
      <c r="H20" s="6">
        <v>249022.0</v>
      </c>
    </row>
    <row r="21">
      <c r="C21" s="4">
        <f t="shared" si="1"/>
        <v>18</v>
      </c>
      <c r="D21" s="6">
        <v>674395.0</v>
      </c>
      <c r="E21" s="6">
        <v>383299.0</v>
      </c>
      <c r="F21" s="6">
        <v>224230.0</v>
      </c>
      <c r="G21" s="6">
        <v>268495.0</v>
      </c>
      <c r="H21" s="6">
        <v>216516.0</v>
      </c>
    </row>
    <row r="22">
      <c r="C22" s="4">
        <f t="shared" si="1"/>
        <v>19</v>
      </c>
      <c r="D22" s="6">
        <v>807137.0</v>
      </c>
      <c r="E22" s="6">
        <v>453471.0</v>
      </c>
      <c r="F22" s="6">
        <v>238021.0</v>
      </c>
      <c r="G22" s="6">
        <v>271276.0</v>
      </c>
      <c r="H22" s="6">
        <v>210854.0</v>
      </c>
    </row>
    <row r="23">
      <c r="C23" s="4">
        <f t="shared" si="1"/>
        <v>20</v>
      </c>
      <c r="D23" s="6">
        <v>688820.0</v>
      </c>
      <c r="E23" s="6">
        <v>438832.0</v>
      </c>
      <c r="F23" s="6">
        <v>223132.0</v>
      </c>
      <c r="G23" s="6">
        <v>258111.0</v>
      </c>
      <c r="H23" s="6">
        <v>215235.0</v>
      </c>
    </row>
    <row r="24">
      <c r="C24" s="4">
        <f t="shared" si="1"/>
        <v>21</v>
      </c>
      <c r="D24" s="6">
        <v>729351.0</v>
      </c>
      <c r="E24" s="6">
        <v>435627.0</v>
      </c>
      <c r="F24" s="6">
        <v>225121.0</v>
      </c>
      <c r="G24" s="6">
        <v>258172.0</v>
      </c>
      <c r="H24" s="6">
        <v>212674.0</v>
      </c>
    </row>
    <row r="25">
      <c r="C25" s="4">
        <f t="shared" si="1"/>
        <v>22</v>
      </c>
      <c r="D25" s="6">
        <v>741046.0</v>
      </c>
      <c r="E25" s="6">
        <v>383113.0</v>
      </c>
      <c r="F25" s="6">
        <v>225467.0</v>
      </c>
      <c r="G25" s="6">
        <v>269467.0</v>
      </c>
      <c r="H25" s="6">
        <v>213069.0</v>
      </c>
    </row>
    <row r="26">
      <c r="C26" s="4">
        <f t="shared" si="1"/>
        <v>23</v>
      </c>
      <c r="D26" s="6">
        <v>675410.0</v>
      </c>
      <c r="E26" s="6">
        <v>392758.0</v>
      </c>
      <c r="F26" s="6">
        <v>238625.0</v>
      </c>
      <c r="G26" s="6">
        <v>278203.0</v>
      </c>
      <c r="H26" s="6">
        <v>209700.0</v>
      </c>
    </row>
    <row r="27">
      <c r="C27" s="4">
        <f t="shared" si="1"/>
        <v>24</v>
      </c>
      <c r="D27" s="6">
        <v>727386.0</v>
      </c>
      <c r="E27" s="6">
        <v>395775.0</v>
      </c>
      <c r="F27" s="6">
        <v>221557.0</v>
      </c>
      <c r="G27" s="6">
        <v>282692.0</v>
      </c>
      <c r="H27" s="6">
        <v>210338.0</v>
      </c>
    </row>
    <row r="28">
      <c r="C28" s="4">
        <f t="shared" si="1"/>
        <v>25</v>
      </c>
      <c r="D28" s="6">
        <v>702933.0</v>
      </c>
      <c r="E28" s="6">
        <v>398339.0</v>
      </c>
      <c r="F28" s="6">
        <v>266248.0</v>
      </c>
      <c r="G28" s="6">
        <v>258593.0</v>
      </c>
      <c r="H28" s="6">
        <v>213890.0</v>
      </c>
    </row>
    <row r="29">
      <c r="C29" s="4">
        <f t="shared" si="1"/>
        <v>26</v>
      </c>
      <c r="D29" s="6">
        <v>681236.0</v>
      </c>
      <c r="E29" s="6">
        <v>442573.0</v>
      </c>
      <c r="F29" s="6">
        <v>255338.0</v>
      </c>
      <c r="G29" s="6">
        <v>251402.0</v>
      </c>
      <c r="H29" s="6">
        <v>211393.0</v>
      </c>
    </row>
    <row r="30">
      <c r="C30" s="4">
        <f t="shared" si="1"/>
        <v>27</v>
      </c>
      <c r="D30" s="6">
        <v>687089.0</v>
      </c>
      <c r="E30" s="6">
        <v>446682.0</v>
      </c>
      <c r="F30" s="6">
        <v>223980.0</v>
      </c>
      <c r="G30" s="6">
        <v>264254.0</v>
      </c>
      <c r="H30" s="6">
        <v>206648.0</v>
      </c>
    </row>
    <row r="31">
      <c r="C31" s="4">
        <f t="shared" si="1"/>
        <v>28</v>
      </c>
      <c r="D31" s="6">
        <v>655885.0</v>
      </c>
      <c r="E31" s="6">
        <v>382535.0</v>
      </c>
      <c r="F31" s="6">
        <v>225400.0</v>
      </c>
      <c r="G31" s="6">
        <v>264780.0</v>
      </c>
      <c r="H31" s="6">
        <v>212097.0</v>
      </c>
    </row>
    <row r="32">
      <c r="C32" s="4">
        <f t="shared" si="1"/>
        <v>29</v>
      </c>
      <c r="D32" s="6">
        <v>672172.0</v>
      </c>
      <c r="E32" s="6">
        <v>410733.0</v>
      </c>
      <c r="F32" s="6">
        <v>250051.0</v>
      </c>
      <c r="G32" s="6">
        <v>285588.0</v>
      </c>
      <c r="H32" s="6">
        <v>212402.0</v>
      </c>
    </row>
    <row r="33">
      <c r="C33" s="4">
        <f t="shared" si="1"/>
        <v>30</v>
      </c>
      <c r="D33" s="6">
        <v>718763.0</v>
      </c>
      <c r="E33" s="6">
        <v>489925.0</v>
      </c>
      <c r="F33" s="6">
        <v>223265.0</v>
      </c>
      <c r="G33" s="6">
        <v>276098.0</v>
      </c>
      <c r="H33" s="6">
        <v>210129.0</v>
      </c>
    </row>
    <row r="34">
      <c r="C34" s="2" t="s">
        <v>15</v>
      </c>
      <c r="D34" s="1">
        <f t="shared" ref="D34:H34" si="2">AVERAGE(D4:D33)</f>
        <v>707003.3667</v>
      </c>
      <c r="E34" s="1">
        <f t="shared" si="2"/>
        <v>421597.2333</v>
      </c>
      <c r="F34" s="1">
        <f t="shared" si="2"/>
        <v>236545.1667</v>
      </c>
      <c r="G34" s="1">
        <f t="shared" si="2"/>
        <v>242088.8</v>
      </c>
      <c r="H34" s="1">
        <f t="shared" si="2"/>
        <v>216409.7333</v>
      </c>
    </row>
    <row r="35">
      <c r="C35" s="2" t="s">
        <v>16</v>
      </c>
      <c r="D35" s="1">
        <f t="shared" ref="D35:H35" si="3">STDEV(D4:D33)</f>
        <v>64250.53372</v>
      </c>
      <c r="E35" s="1">
        <f t="shared" si="3"/>
        <v>43438.8061</v>
      </c>
      <c r="F35" s="1">
        <f t="shared" si="3"/>
        <v>23722.85771</v>
      </c>
      <c r="G35" s="1">
        <f t="shared" si="3"/>
        <v>28815.46475</v>
      </c>
      <c r="H35" s="1">
        <f t="shared" si="3"/>
        <v>9628.353481</v>
      </c>
    </row>
    <row r="37">
      <c r="D37" s="2" t="s">
        <v>17</v>
      </c>
      <c r="E37" s="2" t="s">
        <v>61</v>
      </c>
      <c r="F37" s="2" t="s">
        <v>49</v>
      </c>
      <c r="G37" s="3" t="s">
        <v>131</v>
      </c>
    </row>
    <row r="38">
      <c r="D38" s="1">
        <f>STDEV(D4:D33)</f>
        <v>64250.53372</v>
      </c>
      <c r="E38" s="1">
        <f>AVERAGE(D4:D33)</f>
        <v>707003.3667</v>
      </c>
      <c r="F38" s="2">
        <v>1.0</v>
      </c>
    </row>
    <row r="39">
      <c r="D39" s="1">
        <f>STDEV(E4:E33)</f>
        <v>43438.8061</v>
      </c>
      <c r="E39" s="1">
        <f>AVERAGE(E4:E33)</f>
        <v>421597.2333</v>
      </c>
      <c r="F39" s="2">
        <v>2.0</v>
      </c>
    </row>
    <row r="40">
      <c r="D40" s="1">
        <f>STDEV(F4:F33)</f>
        <v>23722.85771</v>
      </c>
      <c r="E40" s="1">
        <f>AVERAGE(F4:F33)</f>
        <v>236545.1667</v>
      </c>
      <c r="F40" s="2">
        <v>4.0</v>
      </c>
    </row>
    <row r="41">
      <c r="D41" s="1">
        <f>STDEV(G4:G33)</f>
        <v>28815.46475</v>
      </c>
      <c r="E41" s="1">
        <f>AVERAGE(G4:G33)</f>
        <v>242088.8</v>
      </c>
      <c r="F41" s="2">
        <v>8.0</v>
      </c>
    </row>
    <row r="42">
      <c r="D42" s="1">
        <f>STDEV(H4:H33)</f>
        <v>9628.353481</v>
      </c>
      <c r="E42" s="1">
        <f>AVERAGE(H4:H33)</f>
        <v>216409.7333</v>
      </c>
      <c r="F42" s="2">
        <v>12.0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132</v>
      </c>
      <c r="E3" s="6" t="s">
        <v>133</v>
      </c>
      <c r="F3" s="6" t="s">
        <v>134</v>
      </c>
      <c r="G3" s="6" t="s">
        <v>135</v>
      </c>
      <c r="H3" s="6" t="s">
        <v>136</v>
      </c>
    </row>
    <row r="4">
      <c r="C4" s="4">
        <v>1.0</v>
      </c>
      <c r="D4" s="6">
        <v>1571935.0</v>
      </c>
      <c r="E4" s="6">
        <v>862091.0</v>
      </c>
      <c r="F4" s="6">
        <v>446031.0</v>
      </c>
      <c r="G4" s="6">
        <v>459945.0</v>
      </c>
      <c r="H4" s="6">
        <v>449202.0</v>
      </c>
    </row>
    <row r="5">
      <c r="C5" s="4">
        <f t="shared" ref="C5:C33" si="1">C4+1</f>
        <v>2</v>
      </c>
      <c r="D5" s="6">
        <v>1568237.0</v>
      </c>
      <c r="E5" s="6">
        <v>918498.0</v>
      </c>
      <c r="F5" s="6">
        <v>453247.0</v>
      </c>
      <c r="G5" s="6">
        <v>473523.0</v>
      </c>
      <c r="H5" s="6">
        <v>457905.0</v>
      </c>
    </row>
    <row r="6">
      <c r="C6" s="4">
        <f t="shared" si="1"/>
        <v>3</v>
      </c>
      <c r="D6" s="6">
        <v>1692030.0</v>
      </c>
      <c r="E6" s="6">
        <v>1091233.0</v>
      </c>
      <c r="F6" s="6">
        <v>509432.0</v>
      </c>
      <c r="G6" s="6">
        <v>444912.0</v>
      </c>
      <c r="H6" s="6">
        <v>463424.0</v>
      </c>
    </row>
    <row r="7">
      <c r="C7" s="4">
        <f t="shared" si="1"/>
        <v>4</v>
      </c>
      <c r="D7" s="6">
        <v>1669523.0</v>
      </c>
      <c r="E7" s="6">
        <v>909372.0</v>
      </c>
      <c r="F7" s="6">
        <v>445173.0</v>
      </c>
      <c r="G7" s="6">
        <v>448495.0</v>
      </c>
      <c r="H7" s="6">
        <v>455707.0</v>
      </c>
    </row>
    <row r="8">
      <c r="C8" s="4">
        <f t="shared" si="1"/>
        <v>5</v>
      </c>
      <c r="D8" s="6">
        <v>1810831.0</v>
      </c>
      <c r="E8" s="6">
        <v>883237.0</v>
      </c>
      <c r="F8" s="6">
        <v>566964.0</v>
      </c>
      <c r="G8" s="6">
        <v>496454.0</v>
      </c>
      <c r="H8" s="6">
        <v>460052.0</v>
      </c>
    </row>
    <row r="9">
      <c r="C9" s="4">
        <f t="shared" si="1"/>
        <v>6</v>
      </c>
      <c r="D9" s="6">
        <v>1598970.0</v>
      </c>
      <c r="E9" s="6">
        <v>975708.0</v>
      </c>
      <c r="F9" s="6">
        <v>480354.0</v>
      </c>
      <c r="G9" s="6">
        <v>453726.0</v>
      </c>
      <c r="H9" s="6">
        <v>447276.0</v>
      </c>
    </row>
    <row r="10">
      <c r="C10" s="4">
        <f t="shared" si="1"/>
        <v>7</v>
      </c>
      <c r="D10" s="6">
        <v>1678543.0</v>
      </c>
      <c r="E10" s="6">
        <v>883321.0</v>
      </c>
      <c r="F10" s="6">
        <v>512396.0</v>
      </c>
      <c r="G10" s="6">
        <v>470982.0</v>
      </c>
      <c r="H10" s="6">
        <v>455248.0</v>
      </c>
    </row>
    <row r="11">
      <c r="C11" s="4">
        <f t="shared" si="1"/>
        <v>8</v>
      </c>
      <c r="D11" s="6">
        <v>1760105.0</v>
      </c>
      <c r="E11" s="6">
        <v>857871.0</v>
      </c>
      <c r="F11" s="6">
        <v>509616.0</v>
      </c>
      <c r="G11" s="6">
        <v>444866.0</v>
      </c>
      <c r="H11" s="6">
        <v>442147.0</v>
      </c>
    </row>
    <row r="12">
      <c r="C12" s="4">
        <f t="shared" si="1"/>
        <v>9</v>
      </c>
      <c r="D12" s="6">
        <v>1660517.0</v>
      </c>
      <c r="E12" s="6">
        <v>941758.0</v>
      </c>
      <c r="F12" s="6">
        <v>455709.0</v>
      </c>
      <c r="G12" s="6">
        <v>470721.0</v>
      </c>
      <c r="H12" s="6">
        <v>450607.0</v>
      </c>
    </row>
    <row r="13">
      <c r="C13" s="4">
        <f t="shared" si="1"/>
        <v>10</v>
      </c>
      <c r="D13" s="6">
        <v>1774656.0</v>
      </c>
      <c r="E13" s="6">
        <v>1025793.0</v>
      </c>
      <c r="F13" s="6">
        <v>509058.0</v>
      </c>
      <c r="G13" s="6">
        <v>464215.0</v>
      </c>
      <c r="H13" s="6">
        <v>443946.0</v>
      </c>
    </row>
    <row r="14">
      <c r="C14" s="4">
        <f t="shared" si="1"/>
        <v>11</v>
      </c>
      <c r="D14" s="6">
        <v>1621657.0</v>
      </c>
      <c r="E14" s="6">
        <v>883359.0</v>
      </c>
      <c r="F14" s="6">
        <v>452900.0</v>
      </c>
      <c r="G14" s="6">
        <v>442699.0</v>
      </c>
      <c r="H14" s="6">
        <v>445038.0</v>
      </c>
    </row>
    <row r="15">
      <c r="C15" s="4">
        <f t="shared" si="1"/>
        <v>12</v>
      </c>
      <c r="D15" s="6">
        <v>1590322.0</v>
      </c>
      <c r="E15" s="6">
        <v>992915.0</v>
      </c>
      <c r="F15" s="6">
        <v>544217.0</v>
      </c>
      <c r="G15" s="6">
        <v>445694.0</v>
      </c>
      <c r="H15" s="6">
        <v>438890.0</v>
      </c>
    </row>
    <row r="16">
      <c r="C16" s="4">
        <f t="shared" si="1"/>
        <v>13</v>
      </c>
      <c r="D16" s="6">
        <v>1827424.0</v>
      </c>
      <c r="E16" s="6">
        <v>840022.0</v>
      </c>
      <c r="F16" s="6">
        <v>458772.0</v>
      </c>
      <c r="G16" s="6">
        <v>494311.0</v>
      </c>
      <c r="H16" s="6">
        <v>474116.0</v>
      </c>
    </row>
    <row r="17">
      <c r="C17" s="4">
        <f t="shared" si="1"/>
        <v>14</v>
      </c>
      <c r="D17" s="6">
        <v>1813168.0</v>
      </c>
      <c r="E17" s="6">
        <v>895632.0</v>
      </c>
      <c r="F17" s="6">
        <v>515039.0</v>
      </c>
      <c r="G17" s="6">
        <v>515918.0</v>
      </c>
      <c r="H17" s="6">
        <v>450489.0</v>
      </c>
    </row>
    <row r="18">
      <c r="C18" s="4">
        <f t="shared" si="1"/>
        <v>15</v>
      </c>
      <c r="D18" s="6">
        <v>1621546.0</v>
      </c>
      <c r="E18" s="6">
        <v>845365.0</v>
      </c>
      <c r="F18" s="6">
        <v>460634.0</v>
      </c>
      <c r="G18" s="6">
        <v>456292.0</v>
      </c>
      <c r="H18" s="6">
        <v>462141.0</v>
      </c>
    </row>
    <row r="19">
      <c r="C19" s="4">
        <f t="shared" si="1"/>
        <v>16</v>
      </c>
      <c r="D19" s="6">
        <v>1601696.0</v>
      </c>
      <c r="E19" s="6">
        <v>846094.0</v>
      </c>
      <c r="F19" s="6">
        <v>455792.0</v>
      </c>
      <c r="G19" s="6">
        <v>469570.0</v>
      </c>
      <c r="H19" s="6">
        <v>453301.0</v>
      </c>
    </row>
    <row r="20">
      <c r="C20" s="4">
        <f t="shared" si="1"/>
        <v>17</v>
      </c>
      <c r="D20" s="6">
        <v>1645947.0</v>
      </c>
      <c r="E20" s="6">
        <v>847570.0</v>
      </c>
      <c r="F20" s="6">
        <v>454674.0</v>
      </c>
      <c r="G20" s="6">
        <v>474982.0</v>
      </c>
      <c r="H20" s="6">
        <v>450533.0</v>
      </c>
    </row>
    <row r="21">
      <c r="C21" s="4">
        <f t="shared" si="1"/>
        <v>18</v>
      </c>
      <c r="D21" s="6">
        <v>1647081.0</v>
      </c>
      <c r="E21" s="6">
        <v>862822.0</v>
      </c>
      <c r="F21" s="6">
        <v>493018.0</v>
      </c>
      <c r="G21" s="6">
        <v>471629.0</v>
      </c>
      <c r="H21" s="6">
        <v>469966.0</v>
      </c>
    </row>
    <row r="22">
      <c r="C22" s="4">
        <f t="shared" si="1"/>
        <v>19</v>
      </c>
      <c r="D22" s="6">
        <v>1665783.0</v>
      </c>
      <c r="E22" s="6">
        <v>914748.0</v>
      </c>
      <c r="F22" s="6">
        <v>456628.0</v>
      </c>
      <c r="G22" s="6">
        <v>445320.0</v>
      </c>
      <c r="H22" s="6">
        <v>440519.0</v>
      </c>
    </row>
    <row r="23">
      <c r="C23" s="4">
        <f t="shared" si="1"/>
        <v>20</v>
      </c>
      <c r="D23" s="6">
        <v>1684193.0</v>
      </c>
      <c r="E23" s="6">
        <v>840868.0</v>
      </c>
      <c r="F23" s="6">
        <v>465491.0</v>
      </c>
      <c r="G23" s="6">
        <v>442970.0</v>
      </c>
      <c r="H23" s="6">
        <v>456128.0</v>
      </c>
    </row>
    <row r="24">
      <c r="C24" s="4">
        <f t="shared" si="1"/>
        <v>21</v>
      </c>
      <c r="D24" s="6">
        <v>1588840.0</v>
      </c>
      <c r="E24" s="6">
        <v>1049347.0</v>
      </c>
      <c r="F24" s="6">
        <v>502568.0</v>
      </c>
      <c r="G24" s="6">
        <v>454495.0</v>
      </c>
      <c r="H24" s="6">
        <v>460276.0</v>
      </c>
    </row>
    <row r="25">
      <c r="C25" s="4">
        <f t="shared" si="1"/>
        <v>22</v>
      </c>
      <c r="D25" s="6">
        <v>1678584.0</v>
      </c>
      <c r="E25" s="6">
        <v>970667.0</v>
      </c>
      <c r="F25" s="6">
        <v>525438.0</v>
      </c>
      <c r="G25" s="6">
        <v>443683.0</v>
      </c>
      <c r="H25" s="6">
        <v>442910.0</v>
      </c>
    </row>
    <row r="26">
      <c r="C26" s="4">
        <f t="shared" si="1"/>
        <v>23</v>
      </c>
      <c r="D26" s="6">
        <v>1577697.0</v>
      </c>
      <c r="E26" s="6">
        <v>876275.0</v>
      </c>
      <c r="F26" s="6">
        <v>453563.0</v>
      </c>
      <c r="G26" s="6">
        <v>491607.0</v>
      </c>
      <c r="H26" s="6">
        <v>454792.0</v>
      </c>
    </row>
    <row r="27">
      <c r="C27" s="4">
        <f t="shared" si="1"/>
        <v>24</v>
      </c>
      <c r="D27" s="6">
        <v>1651997.0</v>
      </c>
      <c r="E27" s="6">
        <v>838324.0</v>
      </c>
      <c r="F27" s="6">
        <v>454989.0</v>
      </c>
      <c r="G27" s="6">
        <v>467401.0</v>
      </c>
      <c r="H27" s="6">
        <v>459960.0</v>
      </c>
    </row>
    <row r="28">
      <c r="C28" s="4">
        <f t="shared" si="1"/>
        <v>25</v>
      </c>
      <c r="D28" s="6">
        <v>1657151.0</v>
      </c>
      <c r="E28" s="6">
        <v>908579.0</v>
      </c>
      <c r="F28" s="6">
        <v>508884.0</v>
      </c>
      <c r="G28" s="6">
        <v>502615.0</v>
      </c>
      <c r="H28" s="6">
        <v>458856.0</v>
      </c>
    </row>
    <row r="29">
      <c r="C29" s="4">
        <f t="shared" si="1"/>
        <v>26</v>
      </c>
      <c r="D29" s="6">
        <v>1619910.0</v>
      </c>
      <c r="E29" s="6">
        <v>859054.0</v>
      </c>
      <c r="F29" s="6">
        <v>490599.0</v>
      </c>
      <c r="G29" s="6">
        <v>441703.0</v>
      </c>
      <c r="H29" s="6">
        <v>439781.0</v>
      </c>
    </row>
    <row r="30">
      <c r="C30" s="4">
        <f t="shared" si="1"/>
        <v>27</v>
      </c>
      <c r="D30" s="6">
        <v>1672610.0</v>
      </c>
      <c r="E30" s="6">
        <v>916736.0</v>
      </c>
      <c r="F30" s="6">
        <v>451367.0</v>
      </c>
      <c r="G30" s="6">
        <v>439765.0</v>
      </c>
      <c r="H30" s="6">
        <v>438697.0</v>
      </c>
    </row>
    <row r="31">
      <c r="C31" s="4">
        <f t="shared" si="1"/>
        <v>28</v>
      </c>
      <c r="D31" s="6">
        <v>1844180.0</v>
      </c>
      <c r="E31" s="6">
        <v>841988.0</v>
      </c>
      <c r="F31" s="6">
        <v>454716.0</v>
      </c>
      <c r="G31" s="6">
        <v>442242.0</v>
      </c>
      <c r="H31" s="6">
        <v>439080.0</v>
      </c>
    </row>
    <row r="32">
      <c r="C32" s="4">
        <f t="shared" si="1"/>
        <v>29</v>
      </c>
      <c r="D32" s="6">
        <v>1692934.0</v>
      </c>
      <c r="E32" s="6">
        <v>881124.0</v>
      </c>
      <c r="F32" s="6">
        <v>511116.0</v>
      </c>
      <c r="G32" s="6">
        <v>478251.0</v>
      </c>
      <c r="H32" s="6">
        <v>438472.0</v>
      </c>
    </row>
    <row r="33">
      <c r="C33" s="4">
        <f t="shared" si="1"/>
        <v>30</v>
      </c>
      <c r="D33" s="6">
        <v>1597900.0</v>
      </c>
      <c r="E33" s="6">
        <v>1014452.0</v>
      </c>
      <c r="F33" s="6">
        <v>449092.0</v>
      </c>
      <c r="G33" s="6">
        <v>449135.0</v>
      </c>
      <c r="H33" s="6">
        <v>466607.0</v>
      </c>
    </row>
    <row r="34">
      <c r="C34" s="2" t="s">
        <v>15</v>
      </c>
      <c r="D34" s="1">
        <f t="shared" ref="D34:H34" si="2">AVERAGE(D4:D33)</f>
        <v>1669532.233</v>
      </c>
      <c r="E34" s="1">
        <f t="shared" si="2"/>
        <v>909160.7667</v>
      </c>
      <c r="F34" s="1">
        <f t="shared" si="2"/>
        <v>481582.5667</v>
      </c>
      <c r="G34" s="1">
        <f t="shared" si="2"/>
        <v>463270.7</v>
      </c>
      <c r="H34" s="1">
        <f t="shared" si="2"/>
        <v>452202.2</v>
      </c>
    </row>
    <row r="35">
      <c r="C35" s="2" t="s">
        <v>16</v>
      </c>
      <c r="D35" s="1">
        <f t="shared" ref="D35:H35" si="3">STDEV(D4:D33)</f>
        <v>79027.41066</v>
      </c>
      <c r="E35" s="1">
        <f t="shared" si="3"/>
        <v>69065.66323</v>
      </c>
      <c r="F35" s="1">
        <f t="shared" si="3"/>
        <v>33265.12458</v>
      </c>
      <c r="G35" s="1">
        <f t="shared" si="3"/>
        <v>20784.83186</v>
      </c>
      <c r="H35" s="1">
        <f t="shared" si="3"/>
        <v>9993.482598</v>
      </c>
    </row>
    <row r="38">
      <c r="C38" s="2" t="s">
        <v>17</v>
      </c>
      <c r="D38" s="2" t="s">
        <v>61</v>
      </c>
      <c r="E38" s="2" t="s">
        <v>49</v>
      </c>
      <c r="F38" s="3" t="s">
        <v>137</v>
      </c>
    </row>
    <row r="39">
      <c r="C39" s="1">
        <f>STDEV(D4:D33)</f>
        <v>79027.41066</v>
      </c>
      <c r="D39" s="1">
        <f>AVERAGE(D4:D33)</f>
        <v>1669532.233</v>
      </c>
      <c r="E39" s="2">
        <v>1.0</v>
      </c>
    </row>
    <row r="40">
      <c r="C40" s="1">
        <f>STDEV(E4:E33)</f>
        <v>69065.66323</v>
      </c>
      <c r="D40" s="1">
        <f>AVERAGE(E4:E33)</f>
        <v>909160.7667</v>
      </c>
      <c r="E40" s="2">
        <v>2.0</v>
      </c>
    </row>
    <row r="41">
      <c r="C41" s="1">
        <f>STDEV(F4:F33)</f>
        <v>33265.12458</v>
      </c>
      <c r="D41" s="1">
        <f>AVERAGE(F4:F33)</f>
        <v>481582.5667</v>
      </c>
      <c r="E41" s="2">
        <v>4.0</v>
      </c>
    </row>
    <row r="42">
      <c r="C42" s="1">
        <f>STDEV(G4:G33)</f>
        <v>20784.83186</v>
      </c>
      <c r="D42" s="1">
        <f>AVERAGE(G4:G33)</f>
        <v>463270.7</v>
      </c>
      <c r="E42" s="2">
        <v>8.0</v>
      </c>
    </row>
    <row r="43">
      <c r="C43" s="1">
        <f>STDEV(H4:H33)</f>
        <v>9993.482598</v>
      </c>
      <c r="D43" s="1">
        <f>AVERAGE(H4:H33)</f>
        <v>452202.2</v>
      </c>
      <c r="E43" s="2">
        <v>12.0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138</v>
      </c>
      <c r="E3" s="6" t="s">
        <v>139</v>
      </c>
      <c r="F3" s="6" t="s">
        <v>140</v>
      </c>
      <c r="G3" s="6" t="s">
        <v>141</v>
      </c>
      <c r="H3" s="6" t="s">
        <v>142</v>
      </c>
    </row>
    <row r="4">
      <c r="C4" s="4">
        <v>1.0</v>
      </c>
      <c r="D4" s="6">
        <v>3229481.0</v>
      </c>
      <c r="E4" s="6">
        <v>1753385.0</v>
      </c>
      <c r="F4" s="6">
        <v>980874.0</v>
      </c>
      <c r="G4" s="6">
        <v>947270.0</v>
      </c>
      <c r="H4" s="6">
        <v>859566.0</v>
      </c>
    </row>
    <row r="5">
      <c r="C5" s="4">
        <f t="shared" ref="C5:C33" si="1">C4+1</f>
        <v>2</v>
      </c>
      <c r="D5" s="6">
        <v>3504257.0</v>
      </c>
      <c r="E5" s="6">
        <v>1673413.0</v>
      </c>
      <c r="F5" s="6">
        <v>843919.0</v>
      </c>
      <c r="G5" s="6">
        <v>854877.0</v>
      </c>
      <c r="H5" s="6">
        <v>826729.0</v>
      </c>
    </row>
    <row r="6">
      <c r="C6" s="4">
        <f t="shared" si="1"/>
        <v>3</v>
      </c>
      <c r="D6" s="6">
        <v>3417109.0</v>
      </c>
      <c r="E6" s="6">
        <v>1683054.0</v>
      </c>
      <c r="F6" s="6">
        <v>855049.0</v>
      </c>
      <c r="G6" s="6">
        <v>862346.0</v>
      </c>
      <c r="H6" s="6">
        <v>892702.0</v>
      </c>
    </row>
    <row r="7">
      <c r="C7" s="4">
        <f t="shared" si="1"/>
        <v>4</v>
      </c>
      <c r="D7" s="6">
        <v>3319702.0</v>
      </c>
      <c r="E7" s="6">
        <v>2037763.0</v>
      </c>
      <c r="F7" s="6">
        <v>848213.0</v>
      </c>
      <c r="G7" s="6">
        <v>856902.0</v>
      </c>
      <c r="H7" s="6">
        <v>908010.0</v>
      </c>
    </row>
    <row r="8">
      <c r="C8" s="4">
        <f t="shared" si="1"/>
        <v>5</v>
      </c>
      <c r="D8" s="6">
        <v>3395322.0</v>
      </c>
      <c r="E8" s="6">
        <v>1741257.0</v>
      </c>
      <c r="F8" s="6">
        <v>900812.0</v>
      </c>
      <c r="G8" s="6">
        <v>879335.0</v>
      </c>
      <c r="H8" s="6">
        <v>829257.0</v>
      </c>
    </row>
    <row r="9">
      <c r="C9" s="4">
        <f t="shared" si="1"/>
        <v>6</v>
      </c>
      <c r="D9" s="6">
        <v>3445493.0</v>
      </c>
      <c r="E9" s="6">
        <v>1913460.0</v>
      </c>
      <c r="F9" s="6">
        <v>898410.0</v>
      </c>
      <c r="G9" s="6">
        <v>868945.0</v>
      </c>
      <c r="H9" s="6">
        <v>838354.0</v>
      </c>
    </row>
    <row r="10">
      <c r="C10" s="4">
        <f t="shared" si="1"/>
        <v>7</v>
      </c>
      <c r="D10" s="6">
        <v>3196436.0</v>
      </c>
      <c r="E10" s="6">
        <v>1819246.0</v>
      </c>
      <c r="F10" s="6">
        <v>954923.0</v>
      </c>
      <c r="G10" s="6">
        <v>845152.0</v>
      </c>
      <c r="H10" s="6">
        <v>827929.0</v>
      </c>
    </row>
    <row r="11">
      <c r="C11" s="4">
        <f t="shared" si="1"/>
        <v>8</v>
      </c>
      <c r="D11" s="6">
        <v>3536012.0</v>
      </c>
      <c r="E11" s="6">
        <v>1782156.0</v>
      </c>
      <c r="F11" s="6">
        <v>913573.0</v>
      </c>
      <c r="G11" s="6">
        <v>847601.0</v>
      </c>
      <c r="H11" s="6">
        <v>869446.0</v>
      </c>
    </row>
    <row r="12">
      <c r="C12" s="4">
        <f t="shared" si="1"/>
        <v>9</v>
      </c>
      <c r="D12" s="6">
        <v>3222914.0</v>
      </c>
      <c r="E12" s="6">
        <v>1731662.0</v>
      </c>
      <c r="F12" s="6">
        <v>899533.0</v>
      </c>
      <c r="G12" s="6">
        <v>843721.0</v>
      </c>
      <c r="H12" s="6">
        <v>831403.0</v>
      </c>
    </row>
    <row r="13">
      <c r="C13" s="4">
        <f t="shared" si="1"/>
        <v>10</v>
      </c>
      <c r="D13" s="6">
        <v>3497261.0</v>
      </c>
      <c r="E13" s="6">
        <v>1614073.0</v>
      </c>
      <c r="F13" s="6">
        <v>903557.0</v>
      </c>
      <c r="G13" s="6">
        <v>889074.0</v>
      </c>
      <c r="H13" s="6">
        <v>867706.0</v>
      </c>
    </row>
    <row r="14">
      <c r="C14" s="4">
        <f t="shared" si="1"/>
        <v>11</v>
      </c>
      <c r="D14" s="6">
        <v>3342499.0</v>
      </c>
      <c r="E14" s="6">
        <v>1677199.0</v>
      </c>
      <c r="F14" s="6">
        <v>899448.0</v>
      </c>
      <c r="G14" s="6">
        <v>878835.0</v>
      </c>
      <c r="H14" s="6">
        <v>842512.0</v>
      </c>
    </row>
    <row r="15">
      <c r="C15" s="4">
        <f t="shared" si="1"/>
        <v>12</v>
      </c>
      <c r="D15" s="6">
        <v>3394872.0</v>
      </c>
      <c r="E15" s="6">
        <v>1734361.0</v>
      </c>
      <c r="F15" s="6">
        <v>902723.0</v>
      </c>
      <c r="G15" s="6">
        <v>866840.0</v>
      </c>
      <c r="H15" s="6">
        <v>888396.0</v>
      </c>
    </row>
    <row r="16">
      <c r="C16" s="4">
        <f t="shared" si="1"/>
        <v>13</v>
      </c>
      <c r="D16" s="6">
        <v>3373530.0</v>
      </c>
      <c r="E16" s="6">
        <v>1698752.0</v>
      </c>
      <c r="F16" s="6">
        <v>847906.0</v>
      </c>
      <c r="G16" s="6">
        <v>846553.0</v>
      </c>
      <c r="H16" s="6">
        <v>850102.0</v>
      </c>
    </row>
    <row r="17">
      <c r="C17" s="4">
        <f t="shared" si="1"/>
        <v>14</v>
      </c>
      <c r="D17" s="6">
        <v>3407590.0</v>
      </c>
      <c r="E17" s="6">
        <v>1760859.0</v>
      </c>
      <c r="F17" s="6">
        <v>941682.0</v>
      </c>
      <c r="G17" s="6">
        <v>895725.0</v>
      </c>
      <c r="H17" s="6">
        <v>837176.0</v>
      </c>
    </row>
    <row r="18">
      <c r="C18" s="4">
        <f t="shared" si="1"/>
        <v>15</v>
      </c>
      <c r="D18" s="6">
        <v>3388765.0</v>
      </c>
      <c r="E18" s="6">
        <v>1662281.0</v>
      </c>
      <c r="F18" s="6">
        <v>900653.0</v>
      </c>
      <c r="G18" s="6">
        <v>918377.0</v>
      </c>
      <c r="H18" s="6">
        <v>874991.0</v>
      </c>
    </row>
    <row r="19">
      <c r="C19" s="4">
        <f t="shared" si="1"/>
        <v>16</v>
      </c>
      <c r="D19" s="6">
        <v>3342684.0</v>
      </c>
      <c r="E19" s="6">
        <v>1652435.0</v>
      </c>
      <c r="F19" s="6">
        <v>911005.0</v>
      </c>
      <c r="G19" s="6">
        <v>877748.0</v>
      </c>
      <c r="H19" s="6">
        <v>821625.0</v>
      </c>
    </row>
    <row r="20">
      <c r="C20" s="4">
        <f t="shared" si="1"/>
        <v>17</v>
      </c>
      <c r="D20" s="6">
        <v>3270751.0</v>
      </c>
      <c r="E20" s="6">
        <v>1837608.0</v>
      </c>
      <c r="F20" s="6">
        <v>921538.0</v>
      </c>
      <c r="G20" s="6">
        <v>870932.0</v>
      </c>
      <c r="H20" s="6">
        <v>856863.0</v>
      </c>
    </row>
    <row r="21">
      <c r="C21" s="4">
        <f t="shared" si="1"/>
        <v>18</v>
      </c>
      <c r="D21" s="6">
        <v>3300596.0</v>
      </c>
      <c r="E21" s="6">
        <v>1734477.0</v>
      </c>
      <c r="F21" s="6">
        <v>895126.0</v>
      </c>
      <c r="G21" s="6">
        <v>839541.0</v>
      </c>
      <c r="H21" s="6">
        <v>863347.0</v>
      </c>
    </row>
    <row r="22">
      <c r="C22" s="4">
        <f t="shared" si="1"/>
        <v>19</v>
      </c>
      <c r="D22" s="6">
        <v>3153520.0</v>
      </c>
      <c r="E22" s="6">
        <v>1702352.0</v>
      </c>
      <c r="F22" s="6">
        <v>913256.0</v>
      </c>
      <c r="G22" s="6">
        <v>868117.0</v>
      </c>
      <c r="H22" s="6">
        <v>868403.0</v>
      </c>
    </row>
    <row r="23">
      <c r="C23" s="4">
        <f t="shared" si="1"/>
        <v>20</v>
      </c>
      <c r="D23" s="6">
        <v>3267929.0</v>
      </c>
      <c r="E23" s="6">
        <v>1660776.0</v>
      </c>
      <c r="F23" s="6">
        <v>897224.0</v>
      </c>
      <c r="G23" s="6">
        <v>893676.0</v>
      </c>
      <c r="H23" s="6">
        <v>852101.0</v>
      </c>
    </row>
    <row r="24">
      <c r="C24" s="4">
        <f t="shared" si="1"/>
        <v>21</v>
      </c>
      <c r="D24" s="6">
        <v>3219820.0</v>
      </c>
      <c r="E24" s="6">
        <v>1736026.0</v>
      </c>
      <c r="F24" s="6">
        <v>1055788.0</v>
      </c>
      <c r="G24" s="6">
        <v>897382.0</v>
      </c>
      <c r="H24" s="6">
        <v>877324.0</v>
      </c>
    </row>
    <row r="25">
      <c r="C25" s="4">
        <f t="shared" si="1"/>
        <v>22</v>
      </c>
      <c r="D25" s="6">
        <v>3307570.0</v>
      </c>
      <c r="E25" s="6">
        <v>1672459.0</v>
      </c>
      <c r="F25" s="6">
        <v>897779.0</v>
      </c>
      <c r="G25" s="6">
        <v>832068.0</v>
      </c>
      <c r="H25" s="6">
        <v>858410.0</v>
      </c>
    </row>
    <row r="26">
      <c r="C26" s="4">
        <f t="shared" si="1"/>
        <v>23</v>
      </c>
      <c r="D26" s="6">
        <v>3498909.0</v>
      </c>
      <c r="E26" s="6">
        <v>1740233.0</v>
      </c>
      <c r="F26" s="6">
        <v>912861.0</v>
      </c>
      <c r="G26" s="6">
        <v>888273.0</v>
      </c>
      <c r="H26" s="6">
        <v>888068.0</v>
      </c>
    </row>
    <row r="27">
      <c r="C27" s="4">
        <f t="shared" si="1"/>
        <v>24</v>
      </c>
      <c r="D27" s="6">
        <v>3216833.0</v>
      </c>
      <c r="E27" s="6">
        <v>1837869.0</v>
      </c>
      <c r="F27" s="6">
        <v>974819.0</v>
      </c>
      <c r="G27" s="6">
        <v>857302.0</v>
      </c>
      <c r="H27" s="6">
        <v>857432.0</v>
      </c>
    </row>
    <row r="28">
      <c r="C28" s="4">
        <f t="shared" si="1"/>
        <v>25</v>
      </c>
      <c r="D28" s="6">
        <v>3270432.0</v>
      </c>
      <c r="E28" s="6">
        <v>1952466.0</v>
      </c>
      <c r="F28" s="6">
        <v>931869.0</v>
      </c>
      <c r="G28" s="6">
        <v>850362.0</v>
      </c>
      <c r="H28" s="6">
        <v>830590.0</v>
      </c>
    </row>
    <row r="29">
      <c r="C29" s="4">
        <f t="shared" si="1"/>
        <v>26</v>
      </c>
      <c r="D29" s="6">
        <v>3362920.0</v>
      </c>
      <c r="E29" s="6">
        <v>1881647.0</v>
      </c>
      <c r="F29" s="6">
        <v>904660.0</v>
      </c>
      <c r="G29" s="6">
        <v>806203.0</v>
      </c>
      <c r="H29" s="6">
        <v>866165.0</v>
      </c>
    </row>
    <row r="30">
      <c r="C30" s="4">
        <f t="shared" si="1"/>
        <v>27</v>
      </c>
      <c r="D30" s="6">
        <v>3313072.0</v>
      </c>
      <c r="E30" s="6">
        <v>1819545.0</v>
      </c>
      <c r="F30" s="6">
        <v>904711.0</v>
      </c>
      <c r="G30" s="6">
        <v>822110.0</v>
      </c>
      <c r="H30" s="6">
        <v>897951.0</v>
      </c>
    </row>
    <row r="31">
      <c r="C31" s="4">
        <f t="shared" si="1"/>
        <v>28</v>
      </c>
      <c r="D31" s="6">
        <v>3224229.0</v>
      </c>
      <c r="E31" s="6">
        <v>1625959.0</v>
      </c>
      <c r="F31" s="6">
        <v>870892.0</v>
      </c>
      <c r="G31" s="6">
        <v>858043.0</v>
      </c>
      <c r="H31" s="6">
        <v>857663.0</v>
      </c>
    </row>
    <row r="32">
      <c r="C32" s="4">
        <f t="shared" si="1"/>
        <v>29</v>
      </c>
      <c r="D32" s="6">
        <v>3336908.0</v>
      </c>
      <c r="E32" s="6">
        <v>1639097.0</v>
      </c>
      <c r="F32" s="6">
        <v>900437.0</v>
      </c>
      <c r="G32" s="6">
        <v>891697.0</v>
      </c>
      <c r="H32" s="6">
        <v>835543.0</v>
      </c>
    </row>
    <row r="33">
      <c r="C33" s="4">
        <f t="shared" si="1"/>
        <v>30</v>
      </c>
      <c r="D33" s="6">
        <v>3212364.0</v>
      </c>
      <c r="E33" s="6">
        <v>1677392.0</v>
      </c>
      <c r="F33" s="6">
        <v>920131.0</v>
      </c>
      <c r="G33" s="6">
        <v>878148.0</v>
      </c>
      <c r="H33" s="6">
        <v>854431.0</v>
      </c>
    </row>
    <row r="34">
      <c r="C34" s="2" t="s">
        <v>15</v>
      </c>
      <c r="D34" s="1">
        <f t="shared" ref="D34:H34" si="2">AVERAGE(D4:D33)</f>
        <v>3332326</v>
      </c>
      <c r="E34" s="1">
        <f t="shared" si="2"/>
        <v>1748442.067</v>
      </c>
      <c r="F34" s="1">
        <f t="shared" si="2"/>
        <v>910112.3667</v>
      </c>
      <c r="G34" s="1">
        <f t="shared" si="2"/>
        <v>867771.8333</v>
      </c>
      <c r="H34" s="1">
        <f t="shared" si="2"/>
        <v>857673.1667</v>
      </c>
    </row>
    <row r="35">
      <c r="C35" s="2" t="s">
        <v>16</v>
      </c>
      <c r="D35" s="1">
        <f t="shared" ref="D35:H35" si="3">STDEV(D4:D33)</f>
        <v>102481.2154</v>
      </c>
      <c r="E35" s="1">
        <f t="shared" si="3"/>
        <v>101424.692</v>
      </c>
      <c r="F35" s="1">
        <f t="shared" si="3"/>
        <v>42401.64126</v>
      </c>
      <c r="G35" s="1">
        <f t="shared" si="3"/>
        <v>28676.58571</v>
      </c>
      <c r="H35" s="1">
        <f t="shared" si="3"/>
        <v>23033.0567</v>
      </c>
    </row>
    <row r="37">
      <c r="C37" s="2" t="s">
        <v>17</v>
      </c>
      <c r="D37" s="2" t="s">
        <v>61</v>
      </c>
      <c r="E37" s="2" t="s">
        <v>49</v>
      </c>
    </row>
    <row r="38">
      <c r="C38" s="1">
        <f>STDEV(D4:D33)</f>
        <v>102481.2154</v>
      </c>
      <c r="D38" s="1">
        <f>AVERAGE(D4:D33)</f>
        <v>3332326</v>
      </c>
      <c r="E38" s="2">
        <v>1.0</v>
      </c>
      <c r="F38" s="3" t="s">
        <v>143</v>
      </c>
    </row>
    <row r="39">
      <c r="C39" s="1">
        <f>STDEV(E4:E33)</f>
        <v>101424.692</v>
      </c>
      <c r="D39" s="1">
        <f>AVERAGE(E4:E33)</f>
        <v>1748442.067</v>
      </c>
      <c r="E39" s="2">
        <v>2.0</v>
      </c>
    </row>
    <row r="40">
      <c r="C40" s="1">
        <f>STDEV(F4:F33)</f>
        <v>42401.64126</v>
      </c>
      <c r="D40" s="1">
        <f>AVERAGE(F4:F33)</f>
        <v>910112.3667</v>
      </c>
      <c r="E40" s="2">
        <v>4.0</v>
      </c>
    </row>
    <row r="41">
      <c r="C41" s="1">
        <f>STDEV(G4:G33)</f>
        <v>28676.58571</v>
      </c>
      <c r="D41" s="1">
        <f>AVERAGE(G4:G33)</f>
        <v>867771.8333</v>
      </c>
      <c r="E41" s="2">
        <v>8.0</v>
      </c>
    </row>
    <row r="42">
      <c r="C42" s="1">
        <f>STDEV(H4:H33)</f>
        <v>23033.0567</v>
      </c>
      <c r="D42" s="1">
        <f>AVERAGE(H4:H33)</f>
        <v>857673.1667</v>
      </c>
      <c r="E42" s="2">
        <v>12.0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144</v>
      </c>
      <c r="E3" s="6" t="s">
        <v>145</v>
      </c>
      <c r="F3" s="6" t="s">
        <v>146</v>
      </c>
      <c r="G3" s="6" t="s">
        <v>147</v>
      </c>
      <c r="H3" s="6" t="s">
        <v>148</v>
      </c>
    </row>
    <row r="4">
      <c r="C4" s="4">
        <v>1.0</v>
      </c>
      <c r="D4" s="6">
        <v>5395687.0</v>
      </c>
      <c r="E4" s="6">
        <v>3003131.0</v>
      </c>
      <c r="F4" s="6">
        <v>1440710.0</v>
      </c>
      <c r="G4" s="6">
        <v>1260673.0</v>
      </c>
      <c r="H4" s="6">
        <v>1289945.0</v>
      </c>
    </row>
    <row r="5">
      <c r="C5" s="4">
        <f t="shared" ref="C5:C33" si="1">C4+1</f>
        <v>2</v>
      </c>
      <c r="D5" s="6">
        <v>5516359.0</v>
      </c>
      <c r="E5" s="6">
        <v>2573352.0</v>
      </c>
      <c r="F5" s="6">
        <v>1287334.0</v>
      </c>
      <c r="G5" s="6">
        <v>1355497.0</v>
      </c>
      <c r="H5" s="6">
        <v>1288462.0</v>
      </c>
    </row>
    <row r="6">
      <c r="C6" s="4">
        <f t="shared" si="1"/>
        <v>3</v>
      </c>
      <c r="D6" s="6">
        <v>5537859.0</v>
      </c>
      <c r="E6" s="6">
        <v>2768495.0</v>
      </c>
      <c r="F6" s="6">
        <v>1315183.0</v>
      </c>
      <c r="G6" s="6">
        <v>1239213.0</v>
      </c>
      <c r="H6" s="6">
        <v>1220481.0</v>
      </c>
    </row>
    <row r="7">
      <c r="C7" s="4">
        <f t="shared" si="1"/>
        <v>4</v>
      </c>
      <c r="D7" s="6">
        <v>5104422.0</v>
      </c>
      <c r="E7" s="6">
        <v>3120787.0</v>
      </c>
      <c r="F7" s="6">
        <v>1362258.0</v>
      </c>
      <c r="G7" s="6">
        <v>1287837.0</v>
      </c>
      <c r="H7" s="6">
        <v>1249728.0</v>
      </c>
    </row>
    <row r="8">
      <c r="C8" s="4">
        <f t="shared" si="1"/>
        <v>5</v>
      </c>
      <c r="D8" s="6">
        <v>5055100.0</v>
      </c>
      <c r="E8" s="6">
        <v>2645561.0</v>
      </c>
      <c r="F8" s="6">
        <v>1340156.0</v>
      </c>
      <c r="G8" s="6">
        <v>1279803.0</v>
      </c>
      <c r="H8" s="6">
        <v>1225868.0</v>
      </c>
    </row>
    <row r="9">
      <c r="C9" s="4">
        <f t="shared" si="1"/>
        <v>6</v>
      </c>
      <c r="D9" s="6">
        <v>5351968.0</v>
      </c>
      <c r="E9" s="6">
        <v>2550165.0</v>
      </c>
      <c r="F9" s="6">
        <v>1420994.0</v>
      </c>
      <c r="G9" s="6">
        <v>1230932.0</v>
      </c>
      <c r="H9" s="6">
        <v>1381068.0</v>
      </c>
    </row>
    <row r="10">
      <c r="C10" s="4">
        <f t="shared" si="1"/>
        <v>7</v>
      </c>
      <c r="D10" s="6">
        <v>5377331.0</v>
      </c>
      <c r="E10" s="6">
        <v>2691909.0</v>
      </c>
      <c r="F10" s="6">
        <v>1278529.0</v>
      </c>
      <c r="G10" s="6">
        <v>1255538.0</v>
      </c>
      <c r="H10" s="6">
        <v>1351885.0</v>
      </c>
    </row>
    <row r="11">
      <c r="C11" s="4">
        <f t="shared" si="1"/>
        <v>8</v>
      </c>
      <c r="D11" s="6">
        <v>5276904.0</v>
      </c>
      <c r="E11" s="6">
        <v>3100870.0</v>
      </c>
      <c r="F11" s="6">
        <v>1315854.0</v>
      </c>
      <c r="G11" s="6">
        <v>1216844.0</v>
      </c>
      <c r="H11" s="6">
        <v>1263423.0</v>
      </c>
    </row>
    <row r="12">
      <c r="C12" s="4">
        <f t="shared" si="1"/>
        <v>9</v>
      </c>
      <c r="D12" s="6">
        <v>5456674.0</v>
      </c>
      <c r="E12" s="6">
        <v>2701741.0</v>
      </c>
      <c r="F12" s="6">
        <v>1360104.0</v>
      </c>
      <c r="G12" s="6">
        <v>1336883.0</v>
      </c>
      <c r="H12" s="6">
        <v>1280011.0</v>
      </c>
    </row>
    <row r="13">
      <c r="C13" s="4">
        <f t="shared" si="1"/>
        <v>10</v>
      </c>
      <c r="D13" s="6">
        <v>5158314.0</v>
      </c>
      <c r="E13" s="6">
        <v>2427823.0</v>
      </c>
      <c r="F13" s="6">
        <v>1342933.0</v>
      </c>
      <c r="G13" s="6">
        <v>1554984.0</v>
      </c>
      <c r="H13" s="6">
        <v>1248593.0</v>
      </c>
    </row>
    <row r="14">
      <c r="C14" s="4">
        <f t="shared" si="1"/>
        <v>11</v>
      </c>
      <c r="D14" s="6">
        <v>5014295.0</v>
      </c>
      <c r="E14" s="6">
        <v>2749579.0</v>
      </c>
      <c r="F14" s="6">
        <v>1349053.0</v>
      </c>
      <c r="G14" s="6">
        <v>1468365.0</v>
      </c>
      <c r="H14" s="6">
        <v>1231431.0</v>
      </c>
    </row>
    <row r="15">
      <c r="C15" s="4">
        <f t="shared" si="1"/>
        <v>12</v>
      </c>
      <c r="D15" s="6">
        <v>5451845.0</v>
      </c>
      <c r="E15" s="6">
        <v>2752168.0</v>
      </c>
      <c r="F15" s="6">
        <v>1353152.0</v>
      </c>
      <c r="G15" s="6">
        <v>1284575.0</v>
      </c>
      <c r="H15" s="6">
        <v>1273650.0</v>
      </c>
    </row>
    <row r="16">
      <c r="C16" s="4">
        <f t="shared" si="1"/>
        <v>13</v>
      </c>
      <c r="D16" s="6">
        <v>5285781.0</v>
      </c>
      <c r="E16" s="6">
        <v>2581597.0</v>
      </c>
      <c r="F16" s="6">
        <v>1321750.0</v>
      </c>
      <c r="G16" s="6">
        <v>1345792.0</v>
      </c>
      <c r="H16" s="6">
        <v>1333986.0</v>
      </c>
    </row>
    <row r="17">
      <c r="C17" s="4">
        <f t="shared" si="1"/>
        <v>14</v>
      </c>
      <c r="D17" s="6">
        <v>5380615.0</v>
      </c>
      <c r="E17" s="6">
        <v>2488472.0</v>
      </c>
      <c r="F17" s="6">
        <v>1359900.0</v>
      </c>
      <c r="G17" s="6">
        <v>1286201.0</v>
      </c>
      <c r="H17" s="6">
        <v>1270946.0</v>
      </c>
    </row>
    <row r="18">
      <c r="C18" s="4">
        <f t="shared" si="1"/>
        <v>15</v>
      </c>
      <c r="D18" s="6">
        <v>5469112.0</v>
      </c>
      <c r="E18" s="6">
        <v>2945883.0</v>
      </c>
      <c r="F18" s="6">
        <v>1395779.0</v>
      </c>
      <c r="G18" s="6">
        <v>1346432.0</v>
      </c>
      <c r="H18" s="6">
        <v>1279234.0</v>
      </c>
    </row>
    <row r="19">
      <c r="C19" s="4">
        <f t="shared" si="1"/>
        <v>16</v>
      </c>
      <c r="D19" s="6">
        <v>5585060.0</v>
      </c>
      <c r="E19" s="6">
        <v>2565528.0</v>
      </c>
      <c r="F19" s="6">
        <v>1298920.0</v>
      </c>
      <c r="G19" s="6">
        <v>1346253.0</v>
      </c>
      <c r="H19" s="6">
        <v>1339556.0</v>
      </c>
    </row>
    <row r="20">
      <c r="C20" s="4">
        <f t="shared" si="1"/>
        <v>17</v>
      </c>
      <c r="D20" s="6">
        <v>5355871.0</v>
      </c>
      <c r="E20" s="6">
        <v>2587036.0</v>
      </c>
      <c r="F20" s="6">
        <v>1305029.0</v>
      </c>
      <c r="G20" s="6">
        <v>1240460.0</v>
      </c>
      <c r="H20" s="6">
        <v>1248406.0</v>
      </c>
    </row>
    <row r="21">
      <c r="C21" s="4">
        <f t="shared" si="1"/>
        <v>18</v>
      </c>
      <c r="D21" s="6">
        <v>5349686.0</v>
      </c>
      <c r="E21" s="6">
        <v>2775816.0</v>
      </c>
      <c r="F21" s="6">
        <v>1265717.0</v>
      </c>
      <c r="G21" s="6">
        <v>1234867.0</v>
      </c>
      <c r="H21" s="6">
        <v>1248613.0</v>
      </c>
    </row>
    <row r="22">
      <c r="C22" s="4">
        <f t="shared" si="1"/>
        <v>19</v>
      </c>
      <c r="D22" s="6">
        <v>5261964.0</v>
      </c>
      <c r="E22" s="6">
        <v>2827837.0</v>
      </c>
      <c r="F22" s="6">
        <v>1610245.0</v>
      </c>
      <c r="G22" s="6">
        <v>1372810.0</v>
      </c>
      <c r="H22" s="6">
        <v>1264061.0</v>
      </c>
    </row>
    <row r="23">
      <c r="C23" s="4">
        <f t="shared" si="1"/>
        <v>20</v>
      </c>
      <c r="D23" s="6">
        <v>5496731.0</v>
      </c>
      <c r="E23" s="6">
        <v>2519250.0</v>
      </c>
      <c r="F23" s="6">
        <v>1522647.0</v>
      </c>
      <c r="G23" s="6">
        <v>1380221.0</v>
      </c>
      <c r="H23" s="6">
        <v>1351080.0</v>
      </c>
    </row>
    <row r="24">
      <c r="C24" s="4">
        <f t="shared" si="1"/>
        <v>21</v>
      </c>
      <c r="D24" s="6">
        <v>5217755.0</v>
      </c>
      <c r="E24" s="6">
        <v>2606276.0</v>
      </c>
      <c r="F24" s="6">
        <v>1348693.0</v>
      </c>
      <c r="G24" s="6">
        <v>1237366.0</v>
      </c>
      <c r="H24" s="6">
        <v>1400349.0</v>
      </c>
    </row>
    <row r="25">
      <c r="C25" s="4">
        <f t="shared" si="1"/>
        <v>22</v>
      </c>
      <c r="D25" s="6">
        <v>5673518.0</v>
      </c>
      <c r="E25" s="6">
        <v>2728263.0</v>
      </c>
      <c r="F25" s="6">
        <v>1352114.0</v>
      </c>
      <c r="G25" s="6">
        <v>1277198.0</v>
      </c>
      <c r="H25" s="6">
        <v>1236210.0</v>
      </c>
    </row>
    <row r="26">
      <c r="C26" s="4">
        <f t="shared" si="1"/>
        <v>23</v>
      </c>
      <c r="D26" s="6">
        <v>5325549.0</v>
      </c>
      <c r="E26" s="6">
        <v>2530629.0</v>
      </c>
      <c r="F26" s="6">
        <v>1307746.0</v>
      </c>
      <c r="G26" s="6">
        <v>1287691.0</v>
      </c>
      <c r="H26" s="6">
        <v>1246094.0</v>
      </c>
    </row>
    <row r="27">
      <c r="C27" s="4">
        <f t="shared" si="1"/>
        <v>24</v>
      </c>
      <c r="D27" s="6">
        <v>5433205.0</v>
      </c>
      <c r="E27" s="6">
        <v>2635576.0</v>
      </c>
      <c r="F27" s="6">
        <v>1399942.0</v>
      </c>
      <c r="G27" s="6">
        <v>1296482.0</v>
      </c>
      <c r="H27" s="6">
        <v>1218418.0</v>
      </c>
    </row>
    <row r="28">
      <c r="C28" s="4">
        <f t="shared" si="1"/>
        <v>25</v>
      </c>
      <c r="D28" s="6">
        <v>5464746.0</v>
      </c>
      <c r="E28" s="6">
        <v>2765970.0</v>
      </c>
      <c r="F28" s="6">
        <v>1466824.0</v>
      </c>
      <c r="G28" s="6">
        <v>1255336.0</v>
      </c>
      <c r="H28" s="6">
        <v>1226196.0</v>
      </c>
    </row>
    <row r="29">
      <c r="C29" s="4">
        <f t="shared" si="1"/>
        <v>26</v>
      </c>
      <c r="D29" s="6">
        <v>5414521.0</v>
      </c>
      <c r="E29" s="6">
        <v>2725710.0</v>
      </c>
      <c r="F29" s="6">
        <v>1284692.0</v>
      </c>
      <c r="G29" s="6">
        <v>1254700.0</v>
      </c>
      <c r="H29" s="6">
        <v>1221250.0</v>
      </c>
    </row>
    <row r="30">
      <c r="C30" s="4">
        <f t="shared" si="1"/>
        <v>27</v>
      </c>
      <c r="D30" s="6">
        <v>5013883.0</v>
      </c>
      <c r="E30" s="6">
        <v>2540265.0</v>
      </c>
      <c r="F30" s="6">
        <v>1289461.0</v>
      </c>
      <c r="G30" s="6">
        <v>1258043.0</v>
      </c>
      <c r="H30" s="6">
        <v>1311470.0</v>
      </c>
    </row>
    <row r="31">
      <c r="C31" s="4">
        <f t="shared" si="1"/>
        <v>28</v>
      </c>
      <c r="D31" s="6">
        <v>5166643.0</v>
      </c>
      <c r="E31" s="6">
        <v>2629993.0</v>
      </c>
      <c r="F31" s="6">
        <v>1291045.0</v>
      </c>
      <c r="G31" s="6">
        <v>1254150.0</v>
      </c>
      <c r="H31" s="6">
        <v>1253760.0</v>
      </c>
    </row>
    <row r="32">
      <c r="C32" s="4">
        <f t="shared" si="1"/>
        <v>29</v>
      </c>
      <c r="D32" s="6">
        <v>5258972.0</v>
      </c>
      <c r="E32" s="6">
        <v>2645757.0</v>
      </c>
      <c r="F32" s="6">
        <v>1292675.0</v>
      </c>
      <c r="G32" s="6">
        <v>1328777.0</v>
      </c>
      <c r="H32" s="6">
        <v>1255526.0</v>
      </c>
    </row>
    <row r="33">
      <c r="C33" s="4">
        <f t="shared" si="1"/>
        <v>30</v>
      </c>
      <c r="D33" s="6">
        <v>5391038.0</v>
      </c>
      <c r="E33" s="6">
        <v>2728947.0</v>
      </c>
      <c r="F33" s="6">
        <v>1288655.0</v>
      </c>
      <c r="G33" s="6">
        <v>1317884.0</v>
      </c>
      <c r="H33" s="6">
        <v>1236306.0</v>
      </c>
    </row>
    <row r="34">
      <c r="C34" s="2" t="s">
        <v>15</v>
      </c>
      <c r="D34" s="1">
        <f t="shared" ref="D34:H34" si="2">AVERAGE(D4:D33)</f>
        <v>5341380.267</v>
      </c>
      <c r="E34" s="1">
        <f t="shared" si="2"/>
        <v>2697146.2</v>
      </c>
      <c r="F34" s="1">
        <f t="shared" si="2"/>
        <v>1352269.8</v>
      </c>
      <c r="G34" s="1">
        <f t="shared" si="2"/>
        <v>1303060.233</v>
      </c>
      <c r="H34" s="1">
        <f t="shared" si="2"/>
        <v>1274866.867</v>
      </c>
    </row>
    <row r="35">
      <c r="C35" s="2" t="s">
        <v>16</v>
      </c>
      <c r="D35" s="1">
        <f t="shared" ref="D35:H35" si="3">STDEV(D4:D33)</f>
        <v>165547.276</v>
      </c>
      <c r="E35" s="1">
        <f t="shared" si="3"/>
        <v>170327.4903</v>
      </c>
      <c r="F35" s="1">
        <f t="shared" si="3"/>
        <v>77367.78091</v>
      </c>
      <c r="G35" s="1">
        <f t="shared" si="3"/>
        <v>73576.50346</v>
      </c>
      <c r="H35" s="1">
        <f t="shared" si="3"/>
        <v>49661.77508</v>
      </c>
    </row>
    <row r="38">
      <c r="C38" s="2" t="s">
        <v>16</v>
      </c>
      <c r="D38" s="2" t="s">
        <v>61</v>
      </c>
      <c r="E38" s="2" t="s">
        <v>49</v>
      </c>
    </row>
    <row r="39">
      <c r="C39" s="1">
        <f>STDEV(D4:D33)</f>
        <v>165547.276</v>
      </c>
      <c r="D39" s="1">
        <f>AVERAGE(D4:D33)</f>
        <v>5341380.267</v>
      </c>
      <c r="E39" s="2">
        <v>1.0</v>
      </c>
    </row>
    <row r="40">
      <c r="C40" s="1">
        <f>STDEV(E4:E33)</f>
        <v>170327.4903</v>
      </c>
      <c r="D40" s="1">
        <f>AVERAGE(E4:E33)</f>
        <v>2697146.2</v>
      </c>
      <c r="E40" s="2">
        <v>2.0</v>
      </c>
    </row>
    <row r="41">
      <c r="C41" s="1">
        <f>STDEV(F4:F33)</f>
        <v>77367.78091</v>
      </c>
      <c r="D41" s="1">
        <f>AVERAGE(F4:F33)</f>
        <v>1352269.8</v>
      </c>
      <c r="E41" s="2">
        <v>4.0</v>
      </c>
      <c r="F41" s="3" t="s">
        <v>149</v>
      </c>
    </row>
    <row r="42">
      <c r="C42" s="1">
        <f>STDEV(G4:G33)</f>
        <v>73576.50346</v>
      </c>
      <c r="D42" s="1">
        <f>AVERAGE(G4:G33)</f>
        <v>1303060.233</v>
      </c>
      <c r="E42" s="2">
        <v>8.0</v>
      </c>
    </row>
    <row r="43">
      <c r="C43" s="1">
        <f>STDEV(H4:H33)</f>
        <v>49661.77508</v>
      </c>
      <c r="D43" s="1">
        <f>AVERAGE(H4:H33)</f>
        <v>1274866.867</v>
      </c>
      <c r="E43" s="2">
        <v>12.0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5.38"/>
    <col customWidth="1" min="5" max="5" width="25.63"/>
    <col customWidth="1" min="6" max="6" width="25.25"/>
    <col customWidth="1" min="7" max="7" width="23.63"/>
    <col customWidth="1" min="8" max="8" width="24.25"/>
  </cols>
  <sheetData>
    <row r="3">
      <c r="C3" s="5"/>
      <c r="D3" s="6" t="s">
        <v>150</v>
      </c>
      <c r="E3" s="6" t="s">
        <v>151</v>
      </c>
      <c r="F3" s="6" t="s">
        <v>152</v>
      </c>
      <c r="G3" s="6" t="s">
        <v>153</v>
      </c>
      <c r="H3" s="6" t="s">
        <v>154</v>
      </c>
    </row>
    <row r="4">
      <c r="C4" s="4">
        <v>1.0</v>
      </c>
      <c r="D4" s="6">
        <v>9857069.0</v>
      </c>
      <c r="E4" s="6">
        <v>5170116.0</v>
      </c>
      <c r="F4" s="6">
        <v>2387881.0</v>
      </c>
      <c r="G4" s="6">
        <v>2193831.0</v>
      </c>
      <c r="H4" s="6">
        <v>2255712.0</v>
      </c>
    </row>
    <row r="5">
      <c r="C5" s="4">
        <f t="shared" ref="C5:C33" si="1">C4+1</f>
        <v>2</v>
      </c>
      <c r="D5" s="6">
        <v>1.0142811E7</v>
      </c>
      <c r="E5" s="6">
        <v>4892105.0</v>
      </c>
      <c r="F5" s="6">
        <v>2181093.0</v>
      </c>
      <c r="G5" s="6">
        <v>2114919.0</v>
      </c>
      <c r="H5" s="6">
        <v>2141616.0</v>
      </c>
    </row>
    <row r="6">
      <c r="C6" s="4">
        <f t="shared" si="1"/>
        <v>3</v>
      </c>
      <c r="D6" s="6">
        <v>1.0351355E7</v>
      </c>
      <c r="E6" s="6">
        <v>5338858.0</v>
      </c>
      <c r="F6" s="6">
        <v>2400690.0</v>
      </c>
      <c r="G6" s="6">
        <v>2133963.0</v>
      </c>
      <c r="H6" s="6">
        <v>2079691.0</v>
      </c>
    </row>
    <row r="7">
      <c r="C7" s="4">
        <f t="shared" si="1"/>
        <v>4</v>
      </c>
      <c r="D7" s="6">
        <v>9889359.0</v>
      </c>
      <c r="E7" s="6">
        <v>4825119.0</v>
      </c>
      <c r="F7" s="6">
        <v>2302724.0</v>
      </c>
      <c r="G7" s="6">
        <v>2244490.0</v>
      </c>
      <c r="H7" s="6">
        <v>2113740.0</v>
      </c>
    </row>
    <row r="8">
      <c r="C8" s="4">
        <f t="shared" si="1"/>
        <v>5</v>
      </c>
      <c r="D8" s="6">
        <v>9765916.0</v>
      </c>
      <c r="E8" s="6">
        <v>4855544.0</v>
      </c>
      <c r="F8" s="6">
        <v>2368440.0</v>
      </c>
      <c r="G8" s="6">
        <v>2250968.0</v>
      </c>
      <c r="H8" s="6">
        <v>2405205.0</v>
      </c>
    </row>
    <row r="9">
      <c r="C9" s="4">
        <f t="shared" si="1"/>
        <v>6</v>
      </c>
      <c r="D9" s="6">
        <v>9626628.0</v>
      </c>
      <c r="E9" s="6">
        <v>5028838.0</v>
      </c>
      <c r="F9" s="6">
        <v>2441014.0</v>
      </c>
      <c r="G9" s="6">
        <v>2227124.0</v>
      </c>
      <c r="H9" s="6">
        <v>2145173.0</v>
      </c>
    </row>
    <row r="10">
      <c r="C10" s="4">
        <f t="shared" si="1"/>
        <v>7</v>
      </c>
      <c r="D10" s="6">
        <v>9624804.0</v>
      </c>
      <c r="E10" s="6">
        <v>4847645.0</v>
      </c>
      <c r="F10" s="6">
        <v>2643872.0</v>
      </c>
      <c r="G10" s="6">
        <v>2150307.0</v>
      </c>
      <c r="H10" s="6">
        <v>2219133.0</v>
      </c>
    </row>
    <row r="11">
      <c r="C11" s="4">
        <f t="shared" si="1"/>
        <v>8</v>
      </c>
      <c r="D11" s="6">
        <v>9557045.0</v>
      </c>
      <c r="E11" s="6">
        <v>4794077.0</v>
      </c>
      <c r="F11" s="6">
        <v>2406282.0</v>
      </c>
      <c r="G11" s="6">
        <v>2072923.0</v>
      </c>
      <c r="H11" s="6">
        <v>2092250.0</v>
      </c>
    </row>
    <row r="12">
      <c r="C12" s="4">
        <f t="shared" si="1"/>
        <v>9</v>
      </c>
      <c r="D12" s="6">
        <v>9132524.0</v>
      </c>
      <c r="E12" s="6">
        <v>4864063.0</v>
      </c>
      <c r="F12" s="6">
        <v>2305782.0</v>
      </c>
      <c r="G12" s="6">
        <v>2094715.0</v>
      </c>
      <c r="H12" s="6">
        <v>2358560.0</v>
      </c>
    </row>
    <row r="13">
      <c r="C13" s="4">
        <f t="shared" si="1"/>
        <v>10</v>
      </c>
      <c r="D13" s="6">
        <v>9707998.0</v>
      </c>
      <c r="E13" s="6">
        <v>4795195.0</v>
      </c>
      <c r="F13" s="6">
        <v>2318920.0</v>
      </c>
      <c r="G13" s="6">
        <v>2160912.0</v>
      </c>
      <c r="H13" s="6">
        <v>2124632.0</v>
      </c>
    </row>
    <row r="14">
      <c r="C14" s="4">
        <f t="shared" si="1"/>
        <v>11</v>
      </c>
      <c r="D14" s="6">
        <v>9687022.0</v>
      </c>
      <c r="E14" s="6">
        <v>5335355.0</v>
      </c>
      <c r="F14" s="6">
        <v>2291622.0</v>
      </c>
      <c r="G14" s="6">
        <v>2203582.0</v>
      </c>
      <c r="H14" s="6">
        <v>2138787.0</v>
      </c>
    </row>
    <row r="15">
      <c r="C15" s="4">
        <f t="shared" si="1"/>
        <v>12</v>
      </c>
      <c r="D15" s="6">
        <v>1.0024891E7</v>
      </c>
      <c r="E15" s="6">
        <v>4857709.0</v>
      </c>
      <c r="F15" s="6">
        <v>2500641.0</v>
      </c>
      <c r="G15" s="6">
        <v>2324224.0</v>
      </c>
      <c r="H15" s="6">
        <v>2215640.0</v>
      </c>
    </row>
    <row r="16">
      <c r="C16" s="4">
        <f t="shared" si="1"/>
        <v>13</v>
      </c>
      <c r="D16" s="6">
        <v>9715210.0</v>
      </c>
      <c r="E16" s="6">
        <v>4954132.0</v>
      </c>
      <c r="F16" s="6">
        <v>2302707.0</v>
      </c>
      <c r="G16" s="6">
        <v>2165382.0</v>
      </c>
      <c r="H16" s="6">
        <v>2124245.0</v>
      </c>
    </row>
    <row r="17">
      <c r="C17" s="4">
        <f t="shared" si="1"/>
        <v>14</v>
      </c>
      <c r="D17" s="6">
        <v>9776027.0</v>
      </c>
      <c r="E17" s="6">
        <v>4760632.0</v>
      </c>
      <c r="F17" s="6">
        <v>2354761.0</v>
      </c>
      <c r="G17" s="6">
        <v>2234199.0</v>
      </c>
      <c r="H17" s="6">
        <v>2197654.0</v>
      </c>
    </row>
    <row r="18">
      <c r="C18" s="4">
        <f t="shared" si="1"/>
        <v>15</v>
      </c>
      <c r="D18" s="6">
        <v>9541360.0</v>
      </c>
      <c r="E18" s="6">
        <v>4954573.0</v>
      </c>
      <c r="F18" s="6">
        <v>2486491.0</v>
      </c>
      <c r="G18" s="6">
        <v>2124392.0</v>
      </c>
      <c r="H18" s="6">
        <v>2118253.0</v>
      </c>
    </row>
    <row r="19">
      <c r="C19" s="4">
        <f t="shared" si="1"/>
        <v>16</v>
      </c>
      <c r="D19" s="6">
        <v>1.0131116E7</v>
      </c>
      <c r="E19" s="6">
        <v>4687799.0</v>
      </c>
      <c r="F19" s="6">
        <v>2253383.0</v>
      </c>
      <c r="G19" s="6">
        <v>2162714.0</v>
      </c>
      <c r="H19" s="6">
        <v>2132644.0</v>
      </c>
    </row>
    <row r="20">
      <c r="C20" s="4">
        <f t="shared" si="1"/>
        <v>17</v>
      </c>
      <c r="D20" s="6">
        <v>9996685.0</v>
      </c>
      <c r="E20" s="6">
        <v>4851803.0</v>
      </c>
      <c r="F20" s="6">
        <v>2306736.0</v>
      </c>
      <c r="G20" s="6">
        <v>2141765.0</v>
      </c>
      <c r="H20" s="6">
        <v>2284282.0</v>
      </c>
    </row>
    <row r="21">
      <c r="C21" s="4">
        <f t="shared" si="1"/>
        <v>18</v>
      </c>
      <c r="D21" s="6">
        <v>9385919.0</v>
      </c>
      <c r="E21" s="6">
        <v>4697770.0</v>
      </c>
      <c r="F21" s="6">
        <v>2346982.0</v>
      </c>
      <c r="G21" s="6">
        <v>2145013.0</v>
      </c>
      <c r="H21" s="6">
        <v>2204065.0</v>
      </c>
    </row>
    <row r="22">
      <c r="C22" s="4">
        <f t="shared" si="1"/>
        <v>19</v>
      </c>
      <c r="D22" s="6">
        <v>9239361.0</v>
      </c>
      <c r="E22" s="6">
        <v>5573288.0</v>
      </c>
      <c r="F22" s="6">
        <v>2352485.0</v>
      </c>
      <c r="G22" s="6">
        <v>2198701.0</v>
      </c>
      <c r="H22" s="6">
        <v>2136346.0</v>
      </c>
    </row>
    <row r="23">
      <c r="C23" s="4">
        <f t="shared" si="1"/>
        <v>20</v>
      </c>
      <c r="D23" s="6">
        <v>9438347.0</v>
      </c>
      <c r="E23" s="6">
        <v>4815247.0</v>
      </c>
      <c r="F23" s="6">
        <v>2279692.0</v>
      </c>
      <c r="G23" s="6">
        <v>2228640.0</v>
      </c>
      <c r="H23" s="6">
        <v>2138909.0</v>
      </c>
    </row>
    <row r="24">
      <c r="C24" s="4">
        <f t="shared" si="1"/>
        <v>21</v>
      </c>
      <c r="D24" s="6">
        <v>9189966.0</v>
      </c>
      <c r="E24" s="6">
        <v>5113237.0</v>
      </c>
      <c r="F24" s="6">
        <v>2401646.0</v>
      </c>
      <c r="G24" s="6">
        <v>2140256.0</v>
      </c>
      <c r="H24" s="6">
        <v>2159675.0</v>
      </c>
    </row>
    <row r="25">
      <c r="C25" s="4">
        <f t="shared" si="1"/>
        <v>22</v>
      </c>
      <c r="D25" s="6">
        <v>9230959.0</v>
      </c>
      <c r="E25" s="6">
        <v>4948712.0</v>
      </c>
      <c r="F25" s="6">
        <v>2325080.0</v>
      </c>
      <c r="G25" s="6">
        <v>2178139.0</v>
      </c>
      <c r="H25" s="6">
        <v>2272940.0</v>
      </c>
    </row>
    <row r="26">
      <c r="C26" s="4">
        <f t="shared" si="1"/>
        <v>23</v>
      </c>
      <c r="D26" s="6">
        <v>1.0046993E7</v>
      </c>
      <c r="E26" s="6">
        <v>5012825.0</v>
      </c>
      <c r="F26" s="6">
        <v>2358038.0</v>
      </c>
      <c r="G26" s="6">
        <v>2143935.0</v>
      </c>
      <c r="H26" s="6">
        <v>2662730.0</v>
      </c>
    </row>
    <row r="27">
      <c r="C27" s="4">
        <f t="shared" si="1"/>
        <v>24</v>
      </c>
      <c r="D27" s="6">
        <v>9729662.0</v>
      </c>
      <c r="E27" s="6">
        <v>4671522.0</v>
      </c>
      <c r="F27" s="6">
        <v>2354578.0</v>
      </c>
      <c r="G27" s="6">
        <v>2225957.0</v>
      </c>
      <c r="H27" s="6">
        <v>2164643.0</v>
      </c>
    </row>
    <row r="28">
      <c r="C28" s="4">
        <f t="shared" si="1"/>
        <v>25</v>
      </c>
      <c r="D28" s="6">
        <v>1.0063067E7</v>
      </c>
      <c r="E28" s="6">
        <v>4727336.0</v>
      </c>
      <c r="F28" s="6">
        <v>2385403.0</v>
      </c>
      <c r="G28" s="6">
        <v>2183607.0</v>
      </c>
      <c r="H28" s="6">
        <v>2165855.0</v>
      </c>
    </row>
    <row r="29">
      <c r="C29" s="4">
        <f t="shared" si="1"/>
        <v>26</v>
      </c>
      <c r="D29" s="6">
        <v>9773855.0</v>
      </c>
      <c r="E29" s="6">
        <v>4673800.0</v>
      </c>
      <c r="F29" s="6">
        <v>2319702.0</v>
      </c>
      <c r="G29" s="6">
        <v>2229055.0</v>
      </c>
      <c r="H29" s="6">
        <v>2375364.0</v>
      </c>
    </row>
    <row r="30">
      <c r="C30" s="4">
        <f t="shared" si="1"/>
        <v>27</v>
      </c>
      <c r="D30" s="6">
        <v>1.0243083E7</v>
      </c>
      <c r="E30" s="6">
        <v>4615473.0</v>
      </c>
      <c r="F30" s="6">
        <v>2397024.0</v>
      </c>
      <c r="G30" s="6">
        <v>2185098.0</v>
      </c>
      <c r="H30" s="6">
        <v>2075346.0</v>
      </c>
    </row>
    <row r="31">
      <c r="C31" s="4">
        <f t="shared" si="1"/>
        <v>28</v>
      </c>
      <c r="D31" s="6">
        <v>9854307.0</v>
      </c>
      <c r="E31" s="6">
        <v>4614496.0</v>
      </c>
      <c r="F31" s="6">
        <v>2419540.0</v>
      </c>
      <c r="G31" s="6">
        <v>2127580.0</v>
      </c>
      <c r="H31" s="6">
        <v>2150973.0</v>
      </c>
    </row>
    <row r="32">
      <c r="C32" s="4">
        <f t="shared" si="1"/>
        <v>29</v>
      </c>
      <c r="D32" s="6">
        <v>9141448.0</v>
      </c>
      <c r="E32" s="6">
        <v>4880851.0</v>
      </c>
      <c r="F32" s="6">
        <v>2327702.0</v>
      </c>
      <c r="G32" s="6">
        <v>2078424.0</v>
      </c>
      <c r="H32" s="6">
        <v>2070641.0</v>
      </c>
    </row>
    <row r="33">
      <c r="C33" s="4">
        <f t="shared" si="1"/>
        <v>30</v>
      </c>
      <c r="D33" s="6">
        <v>1.0181296E7</v>
      </c>
      <c r="E33" s="6">
        <v>5056877.0</v>
      </c>
      <c r="F33" s="6">
        <v>2355974.0</v>
      </c>
      <c r="G33" s="6">
        <v>2251091.0</v>
      </c>
      <c r="H33" s="6">
        <v>2082074.0</v>
      </c>
    </row>
    <row r="34">
      <c r="C34" s="2" t="s">
        <v>15</v>
      </c>
      <c r="D34" s="1">
        <f t="shared" ref="D34:H34" si="2">AVERAGE(D4:D33)</f>
        <v>9734869.433</v>
      </c>
      <c r="E34" s="1">
        <f t="shared" si="2"/>
        <v>4907166.567</v>
      </c>
      <c r="F34" s="1">
        <f t="shared" si="2"/>
        <v>2362562.833</v>
      </c>
      <c r="G34" s="1">
        <f t="shared" si="2"/>
        <v>2177196.867</v>
      </c>
      <c r="H34" s="1">
        <f t="shared" si="2"/>
        <v>2193559.267</v>
      </c>
    </row>
    <row r="35">
      <c r="C35" s="2" t="s">
        <v>16</v>
      </c>
      <c r="D35" s="1">
        <f t="shared" ref="D35:H35" si="3">STDEV(D4:D33)</f>
        <v>342075.5841</v>
      </c>
      <c r="E35" s="1">
        <f t="shared" si="3"/>
        <v>224461.1977</v>
      </c>
      <c r="F35" s="1">
        <f t="shared" si="3"/>
        <v>84565.33528</v>
      </c>
      <c r="G35" s="1">
        <f t="shared" si="3"/>
        <v>57706.9924</v>
      </c>
      <c r="H35" s="1">
        <f t="shared" si="3"/>
        <v>125089.1663</v>
      </c>
    </row>
    <row r="39">
      <c r="C39" s="2" t="s">
        <v>17</v>
      </c>
      <c r="D39" s="2" t="s">
        <v>61</v>
      </c>
      <c r="E39" s="2" t="s">
        <v>49</v>
      </c>
      <c r="F39" s="3" t="s">
        <v>155</v>
      </c>
    </row>
    <row r="40">
      <c r="C40" s="1">
        <f>STDEV(D4:D33)</f>
        <v>342075.5841</v>
      </c>
      <c r="D40" s="1">
        <f>AVERAGE(D4:D33)</f>
        <v>9734869.433</v>
      </c>
      <c r="E40" s="2">
        <v>1.0</v>
      </c>
    </row>
    <row r="41">
      <c r="C41" s="1">
        <f>STDEV(E4:E33)</f>
        <v>224461.1977</v>
      </c>
      <c r="D41" s="1">
        <f>AVERAGE(E4:E33)</f>
        <v>4907166.567</v>
      </c>
      <c r="E41" s="2">
        <v>2.0</v>
      </c>
    </row>
    <row r="42">
      <c r="C42" s="1">
        <f>STDEV(F4:F33)</f>
        <v>84565.33528</v>
      </c>
      <c r="D42" s="1">
        <f>AVERAGE(F4:F33)</f>
        <v>2362562.833</v>
      </c>
      <c r="E42" s="2">
        <v>4.0</v>
      </c>
    </row>
    <row r="43">
      <c r="C43" s="1">
        <f>STDEV(G4:G33)</f>
        <v>57706.9924</v>
      </c>
      <c r="D43" s="1">
        <f>AVERAGE(G4:G33)</f>
        <v>2177196.867</v>
      </c>
      <c r="E43" s="2">
        <v>8.0</v>
      </c>
    </row>
    <row r="44">
      <c r="C44" s="1">
        <f>STDEV(H4:H33)</f>
        <v>125089.1663</v>
      </c>
      <c r="D44" s="1">
        <f>AVERAGE(H4:H33)</f>
        <v>2193559.267</v>
      </c>
      <c r="E44" s="2">
        <v>12.0</v>
      </c>
    </row>
  </sheetData>
  <drawing r:id="rId1"/>
</worksheet>
</file>