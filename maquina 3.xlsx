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josecepeda/Downloads/"/>
    </mc:Choice>
  </mc:AlternateContent>
  <xr:revisionPtr revIDLastSave="0" documentId="13_ncr:1_{D7EE168C-5025-134B-B471-1D940EAA9BE6}" xr6:coauthVersionLast="47" xr6:coauthVersionMax="47" xr10:uidLastSave="{00000000-0000-0000-0000-000000000000}"/>
  <bookViews>
    <workbookView xWindow="0" yWindow="680" windowWidth="29400" windowHeight="16580" firstSheet="12" activeTab="16" xr2:uid="{00000000-000D-0000-FFFF-FFFF00000000}"/>
  </bookViews>
  <sheets>
    <sheet name="fork 500" sheetId="1" r:id="rId1"/>
    <sheet name="fokr 700" sheetId="2" r:id="rId2"/>
    <sheet name="fork 900" sheetId="3" r:id="rId3"/>
    <sheet name="fork 1200" sheetId="4" r:id="rId4"/>
    <sheet name="fork 1500" sheetId="5" r:id="rId5"/>
    <sheet name="fork 1700" sheetId="6" r:id="rId6"/>
    <sheet name="fork 2000" sheetId="7" r:id="rId7"/>
    <sheet name="posix500" sheetId="8" r:id="rId8"/>
    <sheet name="posix 700" sheetId="9" r:id="rId9"/>
    <sheet name="posix 900" sheetId="10" r:id="rId10"/>
    <sheet name="psoxi 1200" sheetId="11" r:id="rId11"/>
    <sheet name="posixx 1500" sheetId="12" r:id="rId12"/>
    <sheet name="posix 1700" sheetId="13" r:id="rId13"/>
    <sheet name="psoxi 2000" sheetId="14" r:id="rId14"/>
    <sheet name="clasica open 500" sheetId="15" r:id="rId15"/>
    <sheet name="c open 700" sheetId="16" r:id="rId16"/>
    <sheet name="c open 900" sheetId="17" r:id="rId17"/>
    <sheet name="c open 1200" sheetId="18" r:id="rId18"/>
    <sheet name="c open 1500" sheetId="19" r:id="rId19"/>
    <sheet name="c open 1700" sheetId="20" r:id="rId20"/>
    <sheet name="c open 2000" sheetId="21" r:id="rId21"/>
    <sheet name="filas open 500" sheetId="22" r:id="rId22"/>
    <sheet name="f open 700" sheetId="23" r:id="rId23"/>
    <sheet name="f open 900" sheetId="24" r:id="rId24"/>
    <sheet name="f oepn 1200" sheetId="25" r:id="rId25"/>
    <sheet name="f open 1500" sheetId="26" r:id="rId26"/>
    <sheet name="f open 1700" sheetId="27" r:id="rId27"/>
    <sheet name="f open 2000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8" l="1"/>
  <c r="A41" i="28"/>
  <c r="B40" i="28"/>
  <c r="A40" i="28"/>
  <c r="B39" i="28"/>
  <c r="A39" i="28"/>
  <c r="B38" i="28"/>
  <c r="A38" i="28"/>
  <c r="B37" i="28"/>
  <c r="A37" i="28"/>
  <c r="H35" i="28"/>
  <c r="G35" i="28"/>
  <c r="F35" i="28"/>
  <c r="E35" i="28"/>
  <c r="D35" i="28"/>
  <c r="H34" i="28"/>
  <c r="G34" i="28"/>
  <c r="F34" i="28"/>
  <c r="E34" i="28"/>
  <c r="D34" i="28"/>
  <c r="C6" i="28"/>
  <c r="C7" i="28" s="1"/>
  <c r="C8" i="28" s="1"/>
  <c r="C9" i="28" s="1"/>
  <c r="C10" i="28" s="1"/>
  <c r="C11" i="28" s="1"/>
  <c r="C12" i="28" s="1"/>
  <c r="C13" i="28" s="1"/>
  <c r="C14" i="28" s="1"/>
  <c r="C15" i="28" s="1"/>
  <c r="C16" i="28" s="1"/>
  <c r="C17" i="28" s="1"/>
  <c r="C18" i="28" s="1"/>
  <c r="C19" i="28" s="1"/>
  <c r="C20" i="28" s="1"/>
  <c r="C21" i="28" s="1"/>
  <c r="C22" i="28" s="1"/>
  <c r="C23" i="28" s="1"/>
  <c r="C24" i="28" s="1"/>
  <c r="C25" i="28" s="1"/>
  <c r="C26" i="28" s="1"/>
  <c r="C27" i="28" s="1"/>
  <c r="C28" i="28" s="1"/>
  <c r="C29" i="28" s="1"/>
  <c r="C30" i="28" s="1"/>
  <c r="C31" i="28" s="1"/>
  <c r="C32" i="28" s="1"/>
  <c r="C33" i="28" s="1"/>
  <c r="C5" i="28"/>
  <c r="B41" i="27"/>
  <c r="A41" i="27"/>
  <c r="B40" i="27"/>
  <c r="A40" i="27"/>
  <c r="B39" i="27"/>
  <c r="A39" i="27"/>
  <c r="B38" i="27"/>
  <c r="A38" i="27"/>
  <c r="B37" i="27"/>
  <c r="A37" i="27"/>
  <c r="H35" i="27"/>
  <c r="G35" i="27"/>
  <c r="F35" i="27"/>
  <c r="E35" i="27"/>
  <c r="D35" i="27"/>
  <c r="H34" i="27"/>
  <c r="G34" i="27"/>
  <c r="F34" i="27"/>
  <c r="E34" i="27"/>
  <c r="D34" i="27"/>
  <c r="C12" i="27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5" i="27"/>
  <c r="C6" i="27" s="1"/>
  <c r="C7" i="27" s="1"/>
  <c r="C8" i="27" s="1"/>
  <c r="C9" i="27" s="1"/>
  <c r="C10" i="27" s="1"/>
  <c r="C11" i="27" s="1"/>
  <c r="B41" i="26"/>
  <c r="A41" i="26"/>
  <c r="B40" i="26"/>
  <c r="A40" i="26"/>
  <c r="B39" i="26"/>
  <c r="A39" i="26"/>
  <c r="B38" i="26"/>
  <c r="A38" i="26"/>
  <c r="B37" i="26"/>
  <c r="A37" i="26"/>
  <c r="H35" i="26"/>
  <c r="G35" i="26"/>
  <c r="F35" i="26"/>
  <c r="E35" i="26"/>
  <c r="D35" i="26"/>
  <c r="H34" i="26"/>
  <c r="G34" i="26"/>
  <c r="F34" i="26"/>
  <c r="E34" i="26"/>
  <c r="D34" i="26"/>
  <c r="C13" i="26"/>
  <c r="C14" i="26" s="1"/>
  <c r="C15" i="26" s="1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26" i="26" s="1"/>
  <c r="C27" i="26" s="1"/>
  <c r="C28" i="26" s="1"/>
  <c r="C29" i="26" s="1"/>
  <c r="C30" i="26" s="1"/>
  <c r="C31" i="26" s="1"/>
  <c r="C32" i="26" s="1"/>
  <c r="C33" i="26" s="1"/>
  <c r="C5" i="26"/>
  <c r="C6" i="26" s="1"/>
  <c r="C7" i="26" s="1"/>
  <c r="C8" i="26" s="1"/>
  <c r="C9" i="26" s="1"/>
  <c r="C10" i="26" s="1"/>
  <c r="C11" i="26" s="1"/>
  <c r="C12" i="26" s="1"/>
  <c r="B42" i="25"/>
  <c r="A42" i="25"/>
  <c r="B41" i="25"/>
  <c r="A41" i="25"/>
  <c r="B40" i="25"/>
  <c r="A40" i="25"/>
  <c r="B39" i="25"/>
  <c r="A39" i="25"/>
  <c r="B38" i="25"/>
  <c r="A38" i="25"/>
  <c r="H36" i="25"/>
  <c r="G36" i="25"/>
  <c r="F36" i="25"/>
  <c r="E36" i="25"/>
  <c r="D36" i="25"/>
  <c r="H35" i="25"/>
  <c r="G35" i="25"/>
  <c r="F35" i="25"/>
  <c r="E35" i="25"/>
  <c r="D35" i="25"/>
  <c r="C15" i="25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7" i="25"/>
  <c r="C8" i="25" s="1"/>
  <c r="C9" i="25" s="1"/>
  <c r="C10" i="25" s="1"/>
  <c r="C11" i="25" s="1"/>
  <c r="C12" i="25" s="1"/>
  <c r="C13" i="25" s="1"/>
  <c r="C14" i="25" s="1"/>
  <c r="C6" i="25"/>
  <c r="B41" i="24"/>
  <c r="A41" i="24"/>
  <c r="B40" i="24"/>
  <c r="A40" i="24"/>
  <c r="B39" i="24"/>
  <c r="A39" i="24"/>
  <c r="B38" i="24"/>
  <c r="A38" i="24"/>
  <c r="B37" i="24"/>
  <c r="A37" i="24"/>
  <c r="H35" i="24"/>
  <c r="G35" i="24"/>
  <c r="F35" i="24"/>
  <c r="E35" i="24"/>
  <c r="D35" i="24"/>
  <c r="H34" i="24"/>
  <c r="G34" i="24"/>
  <c r="F34" i="24"/>
  <c r="E34" i="24"/>
  <c r="D34" i="24"/>
  <c r="C23" i="24"/>
  <c r="C24" i="24" s="1"/>
  <c r="C25" i="24" s="1"/>
  <c r="C26" i="24" s="1"/>
  <c r="C27" i="24" s="1"/>
  <c r="C28" i="24" s="1"/>
  <c r="C29" i="24" s="1"/>
  <c r="C30" i="24" s="1"/>
  <c r="C31" i="24" s="1"/>
  <c r="C32" i="24" s="1"/>
  <c r="C33" i="24" s="1"/>
  <c r="C5" i="24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B41" i="23"/>
  <c r="A41" i="23"/>
  <c r="B40" i="23"/>
  <c r="A40" i="23"/>
  <c r="B39" i="23"/>
  <c r="A39" i="23"/>
  <c r="B38" i="23"/>
  <c r="A38" i="23"/>
  <c r="B37" i="23"/>
  <c r="A37" i="23"/>
  <c r="H34" i="23"/>
  <c r="G34" i="23"/>
  <c r="F34" i="23"/>
  <c r="E34" i="23"/>
  <c r="D34" i="23"/>
  <c r="H33" i="23"/>
  <c r="G33" i="23"/>
  <c r="F33" i="23"/>
  <c r="E33" i="23"/>
  <c r="D33" i="23"/>
  <c r="C4" i="23"/>
  <c r="C5" i="23" s="1"/>
  <c r="C6" i="23" s="1"/>
  <c r="C7" i="23" s="1"/>
  <c r="C8" i="23" s="1"/>
  <c r="C9" i="23" s="1"/>
  <c r="C10" i="23" s="1"/>
  <c r="C11" i="23" s="1"/>
  <c r="C12" i="23" s="1"/>
  <c r="C13" i="23" s="1"/>
  <c r="C14" i="23" s="1"/>
  <c r="C15" i="23" s="1"/>
  <c r="C16" i="23" s="1"/>
  <c r="C17" i="23" s="1"/>
  <c r="C18" i="23" s="1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B41" i="22"/>
  <c r="A41" i="22"/>
  <c r="B40" i="22"/>
  <c r="A40" i="22"/>
  <c r="B39" i="22"/>
  <c r="A39" i="22"/>
  <c r="B38" i="22"/>
  <c r="A38" i="22"/>
  <c r="B37" i="22"/>
  <c r="A37" i="22"/>
  <c r="H35" i="22"/>
  <c r="G35" i="22"/>
  <c r="F35" i="22"/>
  <c r="E35" i="22"/>
  <c r="D35" i="22"/>
  <c r="H34" i="22"/>
  <c r="G34" i="22"/>
  <c r="F34" i="22"/>
  <c r="E34" i="22"/>
  <c r="D34" i="22"/>
  <c r="C17" i="22"/>
  <c r="C18" i="22" s="1"/>
  <c r="C19" i="22" s="1"/>
  <c r="C20" i="22" s="1"/>
  <c r="C21" i="22" s="1"/>
  <c r="C22" i="22" s="1"/>
  <c r="C23" i="22" s="1"/>
  <c r="C24" i="22" s="1"/>
  <c r="C25" i="22" s="1"/>
  <c r="C26" i="22" s="1"/>
  <c r="C27" i="22" s="1"/>
  <c r="C28" i="22" s="1"/>
  <c r="C29" i="22" s="1"/>
  <c r="C30" i="22" s="1"/>
  <c r="C31" i="22" s="1"/>
  <c r="C32" i="22" s="1"/>
  <c r="C33" i="22" s="1"/>
  <c r="C6" i="22"/>
  <c r="C7" i="22" s="1"/>
  <c r="C8" i="22" s="1"/>
  <c r="C9" i="22" s="1"/>
  <c r="C10" i="22" s="1"/>
  <c r="C11" i="22" s="1"/>
  <c r="C12" i="22" s="1"/>
  <c r="C13" i="22" s="1"/>
  <c r="C14" i="22" s="1"/>
  <c r="C15" i="22" s="1"/>
  <c r="C16" i="22" s="1"/>
  <c r="C5" i="22"/>
  <c r="B41" i="21"/>
  <c r="A41" i="21"/>
  <c r="B40" i="21"/>
  <c r="A40" i="21"/>
  <c r="B39" i="21"/>
  <c r="A39" i="21"/>
  <c r="B38" i="21"/>
  <c r="A38" i="21"/>
  <c r="B37" i="21"/>
  <c r="A37" i="21"/>
  <c r="H35" i="21"/>
  <c r="G35" i="21"/>
  <c r="F35" i="21"/>
  <c r="E35" i="21"/>
  <c r="D35" i="21"/>
  <c r="H34" i="21"/>
  <c r="G34" i="21"/>
  <c r="F34" i="21"/>
  <c r="E34" i="21"/>
  <c r="D34" i="21"/>
  <c r="C5" i="21"/>
  <c r="C6" i="21" s="1"/>
  <c r="C7" i="21" s="1"/>
  <c r="C8" i="21" s="1"/>
  <c r="C9" i="21" s="1"/>
  <c r="C10" i="21" s="1"/>
  <c r="C11" i="21" s="1"/>
  <c r="C12" i="21" s="1"/>
  <c r="C13" i="21" s="1"/>
  <c r="C14" i="21" s="1"/>
  <c r="C15" i="21" s="1"/>
  <c r="C16" i="21" s="1"/>
  <c r="C17" i="21" s="1"/>
  <c r="C18" i="21" s="1"/>
  <c r="C19" i="21" s="1"/>
  <c r="C20" i="21" s="1"/>
  <c r="C21" i="21" s="1"/>
  <c r="C22" i="21" s="1"/>
  <c r="C23" i="21" s="1"/>
  <c r="C24" i="21" s="1"/>
  <c r="C25" i="21" s="1"/>
  <c r="C26" i="21" s="1"/>
  <c r="C27" i="21" s="1"/>
  <c r="C28" i="21" s="1"/>
  <c r="C29" i="21" s="1"/>
  <c r="C30" i="21" s="1"/>
  <c r="C31" i="21" s="1"/>
  <c r="C32" i="21" s="1"/>
  <c r="C33" i="21" s="1"/>
  <c r="B41" i="20"/>
  <c r="A41" i="20"/>
  <c r="B40" i="20"/>
  <c r="A40" i="20"/>
  <c r="B39" i="20"/>
  <c r="A39" i="20"/>
  <c r="B38" i="20"/>
  <c r="A38" i="20"/>
  <c r="B37" i="20"/>
  <c r="A37" i="20"/>
  <c r="I35" i="20"/>
  <c r="H35" i="20"/>
  <c r="G35" i="20"/>
  <c r="F35" i="20"/>
  <c r="E35" i="20"/>
  <c r="I34" i="20"/>
  <c r="H34" i="20"/>
  <c r="G34" i="20"/>
  <c r="F34" i="20"/>
  <c r="E34" i="20"/>
  <c r="D9" i="20"/>
  <c r="D10" i="20" s="1"/>
  <c r="D11" i="20" s="1"/>
  <c r="D12" i="20" s="1"/>
  <c r="D13" i="20" s="1"/>
  <c r="D14" i="20" s="1"/>
  <c r="D15" i="20" s="1"/>
  <c r="D16" i="20" s="1"/>
  <c r="D17" i="20" s="1"/>
  <c r="D18" i="20" s="1"/>
  <c r="D19" i="20" s="1"/>
  <c r="D20" i="20" s="1"/>
  <c r="D21" i="20" s="1"/>
  <c r="D22" i="20" s="1"/>
  <c r="D23" i="20" s="1"/>
  <c r="D24" i="20" s="1"/>
  <c r="D25" i="20" s="1"/>
  <c r="D26" i="20" s="1"/>
  <c r="D27" i="20" s="1"/>
  <c r="D28" i="20" s="1"/>
  <c r="D29" i="20" s="1"/>
  <c r="D30" i="20" s="1"/>
  <c r="D31" i="20" s="1"/>
  <c r="D32" i="20" s="1"/>
  <c r="D33" i="20" s="1"/>
  <c r="D6" i="20"/>
  <c r="D7" i="20" s="1"/>
  <c r="D8" i="20" s="1"/>
  <c r="D5" i="20"/>
  <c r="B41" i="19"/>
  <c r="A41" i="19"/>
  <c r="B40" i="19"/>
  <c r="A40" i="19"/>
  <c r="B39" i="19"/>
  <c r="A39" i="19"/>
  <c r="B38" i="19"/>
  <c r="A38" i="19"/>
  <c r="B37" i="19"/>
  <c r="A37" i="19"/>
  <c r="I35" i="19"/>
  <c r="H35" i="19"/>
  <c r="G35" i="19"/>
  <c r="F35" i="19"/>
  <c r="E35" i="19"/>
  <c r="I34" i="19"/>
  <c r="H34" i="19"/>
  <c r="G34" i="19"/>
  <c r="F34" i="19"/>
  <c r="E34" i="19"/>
  <c r="D5" i="19"/>
  <c r="D6" i="19" s="1"/>
  <c r="D7" i="19" s="1"/>
  <c r="D8" i="19" s="1"/>
  <c r="D9" i="19" s="1"/>
  <c r="D10" i="19" s="1"/>
  <c r="D11" i="19" s="1"/>
  <c r="D12" i="19" s="1"/>
  <c r="D13" i="19" s="1"/>
  <c r="D14" i="19" s="1"/>
  <c r="D15" i="19" s="1"/>
  <c r="D16" i="19" s="1"/>
  <c r="D17" i="19" s="1"/>
  <c r="D18" i="19" s="1"/>
  <c r="D19" i="19" s="1"/>
  <c r="D20" i="19" s="1"/>
  <c r="D21" i="19" s="1"/>
  <c r="D22" i="19" s="1"/>
  <c r="D23" i="19" s="1"/>
  <c r="D24" i="19" s="1"/>
  <c r="D25" i="19" s="1"/>
  <c r="D26" i="19" s="1"/>
  <c r="D27" i="19" s="1"/>
  <c r="D28" i="19" s="1"/>
  <c r="D29" i="19" s="1"/>
  <c r="D30" i="19" s="1"/>
  <c r="D31" i="19" s="1"/>
  <c r="D32" i="19" s="1"/>
  <c r="D33" i="19" s="1"/>
  <c r="B41" i="18"/>
  <c r="A41" i="18"/>
  <c r="B40" i="18"/>
  <c r="A40" i="18"/>
  <c r="B39" i="18"/>
  <c r="A39" i="18"/>
  <c r="B38" i="18"/>
  <c r="A38" i="18"/>
  <c r="B37" i="18"/>
  <c r="A37" i="18"/>
  <c r="H35" i="18"/>
  <c r="G35" i="18"/>
  <c r="F35" i="18"/>
  <c r="E35" i="18"/>
  <c r="D35" i="18"/>
  <c r="H34" i="18"/>
  <c r="G34" i="18"/>
  <c r="F34" i="18"/>
  <c r="E34" i="18"/>
  <c r="D34" i="18"/>
  <c r="C5" i="18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A41" i="17"/>
  <c r="B40" i="17"/>
  <c r="A40" i="17"/>
  <c r="B38" i="17"/>
  <c r="A38" i="17"/>
  <c r="H34" i="17"/>
  <c r="G34" i="17"/>
  <c r="F34" i="17"/>
  <c r="E34" i="17"/>
  <c r="D34" i="17"/>
  <c r="H33" i="17"/>
  <c r="B41" i="17" s="1"/>
  <c r="G33" i="17"/>
  <c r="F33" i="17"/>
  <c r="E33" i="17"/>
  <c r="D33" i="17"/>
  <c r="B37" i="17" s="1"/>
  <c r="C5" i="17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4" i="17"/>
  <c r="B41" i="16"/>
  <c r="A41" i="16"/>
  <c r="B40" i="16"/>
  <c r="A40" i="16"/>
  <c r="B39" i="16"/>
  <c r="A39" i="16"/>
  <c r="B38" i="16"/>
  <c r="A38" i="16"/>
  <c r="B37" i="16"/>
  <c r="A37" i="16"/>
  <c r="H35" i="16"/>
  <c r="G35" i="16"/>
  <c r="F35" i="16"/>
  <c r="E35" i="16"/>
  <c r="D35" i="16"/>
  <c r="H34" i="16"/>
  <c r="G34" i="16"/>
  <c r="F34" i="16"/>
  <c r="E34" i="16"/>
  <c r="D34" i="16"/>
  <c r="C5" i="16"/>
  <c r="C6" i="16" s="1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C33" i="16" s="1"/>
  <c r="B41" i="15"/>
  <c r="A41" i="15"/>
  <c r="B40" i="15"/>
  <c r="A40" i="15"/>
  <c r="B39" i="15"/>
  <c r="A39" i="15"/>
  <c r="B38" i="15"/>
  <c r="A38" i="15"/>
  <c r="B37" i="15"/>
  <c r="A37" i="15"/>
  <c r="I34" i="15"/>
  <c r="H34" i="15"/>
  <c r="G34" i="15"/>
  <c r="F34" i="15"/>
  <c r="E34" i="15"/>
  <c r="I33" i="15"/>
  <c r="H33" i="15"/>
  <c r="G33" i="15"/>
  <c r="F33" i="15"/>
  <c r="E33" i="15"/>
  <c r="D6" i="15"/>
  <c r="D7" i="15" s="1"/>
  <c r="D8" i="15" s="1"/>
  <c r="D9" i="15" s="1"/>
  <c r="D10" i="15" s="1"/>
  <c r="D11" i="15" s="1"/>
  <c r="D12" i="15" s="1"/>
  <c r="D13" i="15" s="1"/>
  <c r="D14" i="15" s="1"/>
  <c r="D15" i="15" s="1"/>
  <c r="D16" i="15" s="1"/>
  <c r="D17" i="15" s="1"/>
  <c r="D18" i="15" s="1"/>
  <c r="D19" i="15" s="1"/>
  <c r="D20" i="15" s="1"/>
  <c r="D21" i="15" s="1"/>
  <c r="D22" i="15" s="1"/>
  <c r="D23" i="15" s="1"/>
  <c r="D24" i="15" s="1"/>
  <c r="D25" i="15" s="1"/>
  <c r="D26" i="15" s="1"/>
  <c r="D27" i="15" s="1"/>
  <c r="D28" i="15" s="1"/>
  <c r="D29" i="15" s="1"/>
  <c r="D30" i="15" s="1"/>
  <c r="D31" i="15" s="1"/>
  <c r="D32" i="15" s="1"/>
  <c r="D5" i="15"/>
  <c r="D4" i="15"/>
  <c r="E43" i="14"/>
  <c r="D43" i="14"/>
  <c r="E42" i="14"/>
  <c r="D42" i="14"/>
  <c r="E41" i="14"/>
  <c r="D41" i="14"/>
  <c r="E40" i="14"/>
  <c r="D40" i="14"/>
  <c r="E39" i="14"/>
  <c r="D39" i="14"/>
  <c r="H35" i="14"/>
  <c r="G35" i="14"/>
  <c r="F35" i="14"/>
  <c r="E35" i="14"/>
  <c r="D35" i="14"/>
  <c r="H34" i="14"/>
  <c r="G34" i="14"/>
  <c r="F34" i="14"/>
  <c r="E34" i="14"/>
  <c r="D34" i="14"/>
  <c r="C5" i="14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E41" i="13"/>
  <c r="D41" i="13"/>
  <c r="E40" i="13"/>
  <c r="D40" i="13"/>
  <c r="E39" i="13"/>
  <c r="D39" i="13"/>
  <c r="E38" i="13"/>
  <c r="D38" i="13"/>
  <c r="E37" i="13"/>
  <c r="D37" i="13"/>
  <c r="H34" i="13"/>
  <c r="G34" i="13"/>
  <c r="F34" i="13"/>
  <c r="E34" i="13"/>
  <c r="D34" i="13"/>
  <c r="H33" i="13"/>
  <c r="G33" i="13"/>
  <c r="F33" i="13"/>
  <c r="E33" i="13"/>
  <c r="D33" i="13"/>
  <c r="C4" i="13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E46" i="12"/>
  <c r="D46" i="12"/>
  <c r="E45" i="12"/>
  <c r="D45" i="12"/>
  <c r="E44" i="12"/>
  <c r="D44" i="12"/>
  <c r="E43" i="12"/>
  <c r="D43" i="12"/>
  <c r="E42" i="12"/>
  <c r="D42" i="12"/>
  <c r="H35" i="12"/>
  <c r="G35" i="12"/>
  <c r="F35" i="12"/>
  <c r="E35" i="12"/>
  <c r="D35" i="12"/>
  <c r="H34" i="12"/>
  <c r="G34" i="12"/>
  <c r="F34" i="12"/>
  <c r="E34" i="12"/>
  <c r="D34" i="12"/>
  <c r="C6" i="12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5" i="12"/>
  <c r="E45" i="11"/>
  <c r="D45" i="11"/>
  <c r="E44" i="11"/>
  <c r="D44" i="11"/>
  <c r="E43" i="11"/>
  <c r="D43" i="11"/>
  <c r="E42" i="11"/>
  <c r="D42" i="11"/>
  <c r="E41" i="11"/>
  <c r="D41" i="11"/>
  <c r="H36" i="11"/>
  <c r="G36" i="11"/>
  <c r="F36" i="11"/>
  <c r="E36" i="11"/>
  <c r="D36" i="11"/>
  <c r="H35" i="11"/>
  <c r="G35" i="11"/>
  <c r="F35" i="11"/>
  <c r="E35" i="11"/>
  <c r="D35" i="11"/>
  <c r="C6" i="1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E42" i="10"/>
  <c r="D42" i="10"/>
  <c r="E41" i="10"/>
  <c r="D41" i="10"/>
  <c r="E40" i="10"/>
  <c r="D40" i="10"/>
  <c r="E39" i="10"/>
  <c r="D39" i="10"/>
  <c r="E38" i="10"/>
  <c r="D38" i="10"/>
  <c r="H34" i="10"/>
  <c r="G34" i="10"/>
  <c r="F34" i="10"/>
  <c r="E34" i="10"/>
  <c r="D34" i="10"/>
  <c r="H33" i="10"/>
  <c r="G33" i="10"/>
  <c r="F33" i="10"/>
  <c r="E33" i="10"/>
  <c r="D33" i="10"/>
  <c r="C5" i="10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4" i="10"/>
  <c r="E43" i="9"/>
  <c r="D43" i="9"/>
  <c r="E42" i="9"/>
  <c r="D42" i="9"/>
  <c r="E41" i="9"/>
  <c r="D41" i="9"/>
  <c r="E40" i="9"/>
  <c r="D40" i="9"/>
  <c r="E39" i="9"/>
  <c r="D39" i="9"/>
  <c r="H35" i="9"/>
  <c r="G35" i="9"/>
  <c r="F35" i="9"/>
  <c r="E35" i="9"/>
  <c r="D35" i="9"/>
  <c r="H34" i="9"/>
  <c r="G34" i="9"/>
  <c r="F34" i="9"/>
  <c r="E34" i="9"/>
  <c r="D34" i="9"/>
  <c r="C5" i="9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E41" i="8"/>
  <c r="D41" i="8"/>
  <c r="E40" i="8"/>
  <c r="D40" i="8"/>
  <c r="E39" i="8"/>
  <c r="D39" i="8"/>
  <c r="E38" i="8"/>
  <c r="D38" i="8"/>
  <c r="E37" i="8"/>
  <c r="D37" i="8"/>
  <c r="H34" i="8"/>
  <c r="G34" i="8"/>
  <c r="F34" i="8"/>
  <c r="E34" i="8"/>
  <c r="D34" i="8"/>
  <c r="H33" i="8"/>
  <c r="G33" i="8"/>
  <c r="F33" i="8"/>
  <c r="E33" i="8"/>
  <c r="D33" i="8"/>
  <c r="C5" i="8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4" i="8"/>
  <c r="E42" i="7"/>
  <c r="D42" i="7"/>
  <c r="E41" i="7"/>
  <c r="D41" i="7"/>
  <c r="E40" i="7"/>
  <c r="D40" i="7"/>
  <c r="E39" i="7"/>
  <c r="D39" i="7"/>
  <c r="E38" i="7"/>
  <c r="D38" i="7"/>
  <c r="H34" i="7"/>
  <c r="G34" i="7"/>
  <c r="F34" i="7"/>
  <c r="E34" i="7"/>
  <c r="D34" i="7"/>
  <c r="H33" i="7"/>
  <c r="G33" i="7"/>
  <c r="F33" i="7"/>
  <c r="E33" i="7"/>
  <c r="D33" i="7"/>
  <c r="C5" i="7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4" i="7"/>
  <c r="D44" i="6"/>
  <c r="C44" i="6"/>
  <c r="D43" i="6"/>
  <c r="C43" i="6"/>
  <c r="D42" i="6"/>
  <c r="C42" i="6"/>
  <c r="D41" i="6"/>
  <c r="C41" i="6"/>
  <c r="D40" i="6"/>
  <c r="C40" i="6"/>
  <c r="G35" i="6"/>
  <c r="F35" i="6"/>
  <c r="E35" i="6"/>
  <c r="D35" i="6"/>
  <c r="C35" i="6"/>
  <c r="G34" i="6"/>
  <c r="F34" i="6"/>
  <c r="E34" i="6"/>
  <c r="D34" i="6"/>
  <c r="C34" i="6"/>
  <c r="B5" i="6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E44" i="5"/>
  <c r="D44" i="5"/>
  <c r="E43" i="5"/>
  <c r="D43" i="5"/>
  <c r="E42" i="5"/>
  <c r="D42" i="5"/>
  <c r="E41" i="5"/>
  <c r="D41" i="5"/>
  <c r="E40" i="5"/>
  <c r="D40" i="5"/>
  <c r="H35" i="5"/>
  <c r="G35" i="5"/>
  <c r="F35" i="5"/>
  <c r="E35" i="5"/>
  <c r="D35" i="5"/>
  <c r="H34" i="5"/>
  <c r="G34" i="5"/>
  <c r="F34" i="5"/>
  <c r="E34" i="5"/>
  <c r="D34" i="5"/>
  <c r="C7" i="5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6" i="5"/>
  <c r="C5" i="5"/>
  <c r="E43" i="4"/>
  <c r="D43" i="4"/>
  <c r="E42" i="4"/>
  <c r="D42" i="4"/>
  <c r="E41" i="4"/>
  <c r="D41" i="4"/>
  <c r="E40" i="4"/>
  <c r="D40" i="4"/>
  <c r="E39" i="4"/>
  <c r="D39" i="4"/>
  <c r="H35" i="4"/>
  <c r="G35" i="4"/>
  <c r="F35" i="4"/>
  <c r="E35" i="4"/>
  <c r="D35" i="4"/>
  <c r="H34" i="4"/>
  <c r="G34" i="4"/>
  <c r="F34" i="4"/>
  <c r="E34" i="4"/>
  <c r="D34" i="4"/>
  <c r="C18" i="4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7" i="4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5" i="4"/>
  <c r="C6" i="4" s="1"/>
  <c r="F46" i="3"/>
  <c r="E46" i="3"/>
  <c r="F45" i="3"/>
  <c r="E45" i="3"/>
  <c r="F44" i="3"/>
  <c r="E44" i="3"/>
  <c r="F43" i="3"/>
  <c r="E43" i="3"/>
  <c r="F42" i="3"/>
  <c r="E42" i="3"/>
  <c r="I37" i="3"/>
  <c r="H37" i="3"/>
  <c r="G37" i="3"/>
  <c r="F37" i="3"/>
  <c r="E37" i="3"/>
  <c r="I36" i="3"/>
  <c r="H36" i="3"/>
  <c r="G36" i="3"/>
  <c r="F36" i="3"/>
  <c r="E36" i="3"/>
  <c r="D20" i="3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10" i="3"/>
  <c r="D11" i="3" s="1"/>
  <c r="D12" i="3" s="1"/>
  <c r="D13" i="3" s="1"/>
  <c r="D14" i="3" s="1"/>
  <c r="D15" i="3" s="1"/>
  <c r="D16" i="3" s="1"/>
  <c r="D17" i="3" s="1"/>
  <c r="D18" i="3" s="1"/>
  <c r="D19" i="3" s="1"/>
  <c r="D7" i="3"/>
  <c r="D8" i="3" s="1"/>
  <c r="D9" i="3" s="1"/>
  <c r="E45" i="2"/>
  <c r="D45" i="2"/>
  <c r="E44" i="2"/>
  <c r="D44" i="2"/>
  <c r="E43" i="2"/>
  <c r="D43" i="2"/>
  <c r="E42" i="2"/>
  <c r="D42" i="2"/>
  <c r="E41" i="2"/>
  <c r="D41" i="2"/>
  <c r="H35" i="2"/>
  <c r="G35" i="2"/>
  <c r="F35" i="2"/>
  <c r="E35" i="2"/>
  <c r="D35" i="2"/>
  <c r="H34" i="2"/>
  <c r="G34" i="2"/>
  <c r="F34" i="2"/>
  <c r="E34" i="2"/>
  <c r="D34" i="2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D44" i="1"/>
  <c r="C44" i="1"/>
  <c r="D43" i="1"/>
  <c r="C43" i="1"/>
  <c r="D42" i="1"/>
  <c r="C42" i="1"/>
  <c r="D41" i="1"/>
  <c r="C41" i="1"/>
  <c r="D40" i="1"/>
  <c r="C40" i="1"/>
  <c r="G36" i="1"/>
  <c r="F36" i="1"/>
  <c r="E36" i="1"/>
  <c r="D36" i="1"/>
  <c r="C36" i="1"/>
  <c r="G35" i="1"/>
  <c r="F35" i="1"/>
  <c r="E35" i="1"/>
  <c r="D35" i="1"/>
  <c r="C3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A39" i="17" l="1"/>
  <c r="B39" i="17"/>
  <c r="A37" i="17"/>
</calcChain>
</file>

<file path=xl/sharedStrings.xml><?xml version="1.0" encoding="utf-8"?>
<sst xmlns="http://schemas.openxmlformats.org/spreadsheetml/2006/main" count="280" uniqueCount="147">
  <si>
    <t>mmClasicaFork (500) 1 hilo</t>
  </si>
  <si>
    <t>mmClasicaFork (500) 2 hilo</t>
  </si>
  <si>
    <t>mmClasicaFork (500) 4 hilo</t>
  </si>
  <si>
    <t>mmClasicaFork (500) 8 hilo</t>
  </si>
  <si>
    <t>mmClasicaFork (500) 12 hilo</t>
  </si>
  <si>
    <t>Promedio</t>
  </si>
  <si>
    <t>Desviación estandar</t>
  </si>
  <si>
    <t>Desviacion estandar</t>
  </si>
  <si>
    <t>Tiempo promedio</t>
  </si>
  <si>
    <t>Procesos</t>
  </si>
  <si>
    <t>mmClasicaFork (700) 1 hilo</t>
  </si>
  <si>
    <t>mmClasicaFork (700) 2 hilo</t>
  </si>
  <si>
    <t>mmClasicaFork (700) 4 hilo</t>
  </si>
  <si>
    <t>mmClasicaFork (700) 8 hilo</t>
  </si>
  <si>
    <t>mmClasicaFork (700) 12 hilo</t>
  </si>
  <si>
    <t>promedio</t>
  </si>
  <si>
    <t>Desviacion Estandar</t>
  </si>
  <si>
    <t>mmClasicaFork (900) 1 hilo</t>
  </si>
  <si>
    <t>mmClasicaFork (900) 2 hilo</t>
  </si>
  <si>
    <t>mmClasicaFork (900) 4 hilo</t>
  </si>
  <si>
    <t>mmClasicaFork (900) 8 hilo</t>
  </si>
  <si>
    <t>mmClasicaFork (900) 12 hilo</t>
  </si>
  <si>
    <t>mmClasicaFork (1200) 1 hilo</t>
  </si>
  <si>
    <t>mmClasicaFork (1200) 2 hilo</t>
  </si>
  <si>
    <t>mmClasicaFork (1200) 4 hilo</t>
  </si>
  <si>
    <t>mmClasicaFork (1200) 8 hilo</t>
  </si>
  <si>
    <t>mmClasicaFork (1200) 12 hilo</t>
  </si>
  <si>
    <t>mmClasicaFork (1500) 1 hilo</t>
  </si>
  <si>
    <t>mmClasicaFork (1500) 2 hilo</t>
  </si>
  <si>
    <t>mmClasicaFork (1500) 4 hilo</t>
  </si>
  <si>
    <t>mmClasicaFork (1500) 8 hilo</t>
  </si>
  <si>
    <t>mmClasicaFork (1500) 12 hilo</t>
  </si>
  <si>
    <t>mmClasicaFork (1700) 1 hilo</t>
  </si>
  <si>
    <t>mmClasicaFork (1700) 2 hilo</t>
  </si>
  <si>
    <t>mmClasicaFork (1700) 4 hilo</t>
  </si>
  <si>
    <t>mmClasicaFork (1700) 8 hilo</t>
  </si>
  <si>
    <t>mmClasicaFork (1700) 12 hilo</t>
  </si>
  <si>
    <t>mmClasicaFork (2000) 1 hilo</t>
  </si>
  <si>
    <t>mmClasicaFork (2000) 2 hilo</t>
  </si>
  <si>
    <t>mmClasicaFork (2000) 4 hilo</t>
  </si>
  <si>
    <t>mmClasicaFork (2000) 8 hilo</t>
  </si>
  <si>
    <t>mmClasicaFork (2000) 12 hilo</t>
  </si>
  <si>
    <t>mmClasicaPosix (500) 1 hilo</t>
  </si>
  <si>
    <t>mmClasicaPosix (500) 2 hilo</t>
  </si>
  <si>
    <t>mmClasicaPosix (500) 4 hilo</t>
  </si>
  <si>
    <t>mmClasicaPosix (500) 8 hilo</t>
  </si>
  <si>
    <t>mmClasicaPosix (500) 12 hilo</t>
  </si>
  <si>
    <t>Hilos</t>
  </si>
  <si>
    <t>mmClasicaPosix (700) 1 hilo</t>
  </si>
  <si>
    <t>mmClasicaPosix (700) 2 hilo</t>
  </si>
  <si>
    <t>mmClasicaPosix (700) 4 hilo</t>
  </si>
  <si>
    <t>mmClasicaPosix (700) 8 hilo</t>
  </si>
  <si>
    <t>mmClasicaPosix (700) 12 hilo</t>
  </si>
  <si>
    <t>mmClasicaPosix (900) 1 hilo</t>
  </si>
  <si>
    <t>mmClasicaPosix (900) 2 hilo</t>
  </si>
  <si>
    <t>mmClasicaPosix (900) 4 hilo</t>
  </si>
  <si>
    <t>mmClasicaPosix (900) 8 hilo</t>
  </si>
  <si>
    <t>mmClasicaPosix (900) 12 hilo</t>
  </si>
  <si>
    <t>mmClasicaPosix (1200) 1 hilo</t>
  </si>
  <si>
    <t>mmClasicaPosix (1200) 2 hilo</t>
  </si>
  <si>
    <t>mmClasicaPosix (1200) 4 hilo</t>
  </si>
  <si>
    <t>mmClasicaPosix (1200) 8 hilo</t>
  </si>
  <si>
    <t>mmClasicaPosix (1200) 12 hilo</t>
  </si>
  <si>
    <t>mmClasicaPosix (1500) 1 hilo</t>
  </si>
  <si>
    <t>mmClasicaPosix (1500) 2 hilo</t>
  </si>
  <si>
    <t>mmClasicaPosix (1500) 4 hilo</t>
  </si>
  <si>
    <t>mmClasicaPosix (1500) 8 hilo</t>
  </si>
  <si>
    <t>mmClasicaPosix (1500) 12 hilo</t>
  </si>
  <si>
    <t>mmClasicaPosix (1700) 1 hilo</t>
  </si>
  <si>
    <t>mmClasicaPosix (1700) 2 hilo</t>
  </si>
  <si>
    <t>mmClasicaPosix (1700) 4 hilo</t>
  </si>
  <si>
    <t>mmClasicaPosix (1700) 8 hilo</t>
  </si>
  <si>
    <t>mmClasicaPosix (1700) 12 hilo</t>
  </si>
  <si>
    <t>mmClasicaPosix (2000) 1 hilo</t>
  </si>
  <si>
    <t>mmClasicaPosix (2000) 2 hilo</t>
  </si>
  <si>
    <t>mmClasicaPosix (2000) 4 hilo</t>
  </si>
  <si>
    <t>mmClasicaPosix (2000) 8 hilo</t>
  </si>
  <si>
    <t>mmClasicaPosix (2000) 12 hilo</t>
  </si>
  <si>
    <t>mmClasicaOpenMP (500) 1 hilo</t>
  </si>
  <si>
    <t>mmClasicaOpenMP (500) 2 hilo</t>
  </si>
  <si>
    <t>mmClasicaOpenMP (500) 4 hilo</t>
  </si>
  <si>
    <t>mmClasicaOpenMP (500) 8 hilo</t>
  </si>
  <si>
    <t>mmClasicaOpenMP (500) 12 hilo</t>
  </si>
  <si>
    <t>Tiempo Promedio</t>
  </si>
  <si>
    <t>mmClasicaOpenMP (700) 1 hilo</t>
  </si>
  <si>
    <t>mmClasicaOpenMP (700) 2 hilo</t>
  </si>
  <si>
    <t>mmClasicaOpenMP (700) 4 hilo</t>
  </si>
  <si>
    <t>mmClasicaOpenMP (700) 8 hilo</t>
  </si>
  <si>
    <t>mmClasicaOpenMP (700) 12 hilo</t>
  </si>
  <si>
    <t>mmClasicaOpenMP (900) 1 hilo</t>
  </si>
  <si>
    <t>mmClasicaOpenMP (900) 2 hilo</t>
  </si>
  <si>
    <t>mmClasicaOpenMP (900) 4 hilo</t>
  </si>
  <si>
    <t>mmClasicaOpenMP (900) 8 hilo</t>
  </si>
  <si>
    <t>mmClasicaOpenMP (900) 12 hilo</t>
  </si>
  <si>
    <t>mmClasicaOpenMP (1200) 1 hilo</t>
  </si>
  <si>
    <t>mmClasicaOpenMP (1200) 2 hilo</t>
  </si>
  <si>
    <t>mmClasicaOpenMP (1200) 4 hilo</t>
  </si>
  <si>
    <t>mmClasicaOpenMP(1200) 8 hilo</t>
  </si>
  <si>
    <t>mmClasicaOpenMP (1200) 12 hilo</t>
  </si>
  <si>
    <t>mmClasicaOpenMP (1500) 1 hilo</t>
  </si>
  <si>
    <t>mmClasicaOpenMP (1500) 2 hilo</t>
  </si>
  <si>
    <t>mmClasicaOpenMP (1500) 8 hilo</t>
  </si>
  <si>
    <t>mmClasicaOpenMP (1500) 12 hilo</t>
  </si>
  <si>
    <t>mmClasicaOpenMP (1700) 1 hilo</t>
  </si>
  <si>
    <t>mmClasicaOpenMP (1700) 2 hilo</t>
  </si>
  <si>
    <t>mmClasicaOpenMP (1700) 8 hilo</t>
  </si>
  <si>
    <t>mmClasicaOpenMP (1700) 12 hilo</t>
  </si>
  <si>
    <t>mmClasicaOpenMP (2000) 1 hilo</t>
  </si>
  <si>
    <t>mmClasicaOpenMP (2000) 2 hilo</t>
  </si>
  <si>
    <t>mmClasicaOpenMP (2000) 4 hilo</t>
  </si>
  <si>
    <t>mmClasicaOpenMP (2000) 8 hilo</t>
  </si>
  <si>
    <t>mmClasicaOpenMP (2000) 12 hilo</t>
  </si>
  <si>
    <t>filasOpenMP (500) 1 hilo</t>
  </si>
  <si>
    <t>filasOpenMP (500) 2 hilo</t>
  </si>
  <si>
    <t>filasOpenMP (500) 4 hilo</t>
  </si>
  <si>
    <t>filasOpenMP (500) 8 hilo</t>
  </si>
  <si>
    <t>filasOpenMP (500) 12 hilo</t>
  </si>
  <si>
    <t>filasOpenMP (700) 1 hilo</t>
  </si>
  <si>
    <t>filasOpenMP (700) 2 hilo</t>
  </si>
  <si>
    <t>filasOpenMP (700) 4 hilo</t>
  </si>
  <si>
    <t>filasOpenMP (700) 8 hilo</t>
  </si>
  <si>
    <t>filasOpenMP (700) 12 hilo</t>
  </si>
  <si>
    <t>filasOpenMP (900) 1 hilo</t>
  </si>
  <si>
    <t>filasOpenMP (900) 2 hilo</t>
  </si>
  <si>
    <t>filasOpenMP (900) 4 hilo</t>
  </si>
  <si>
    <t>filasOpenMP (900) 8 hilo</t>
  </si>
  <si>
    <t>filasOpenMP (900) 12 hilo</t>
  </si>
  <si>
    <t>filasOpenMP (1200) 1 hilo</t>
  </si>
  <si>
    <t>filasOpenMP (1200) 2 hilo</t>
  </si>
  <si>
    <t>filasOpenMP (1200) 4 hilo</t>
  </si>
  <si>
    <t>filasOpenMP (1200) 8 hilo</t>
  </si>
  <si>
    <t>filasOpenMP (1200) 12 hilo</t>
  </si>
  <si>
    <t>filasOpenMP (1500) 1 hilo</t>
  </si>
  <si>
    <t>filasOpenMP (1500) 2 hilo</t>
  </si>
  <si>
    <t>filasOpenMP (1500) 4 hilo</t>
  </si>
  <si>
    <t>filasOpenMP (1500) 8 hilo</t>
  </si>
  <si>
    <t>filasOpenMP (1500) 12 hilo</t>
  </si>
  <si>
    <t>filasOpenMP (1700) 1 hilo</t>
  </si>
  <si>
    <t>filasOpenMP (1700) 2 hilo</t>
  </si>
  <si>
    <t>filasOpenMP (1700) 4 hilo</t>
  </si>
  <si>
    <t>filasOpenMP (1700) 8 hilo</t>
  </si>
  <si>
    <t>filasOpenMP (1700) 12 hilo</t>
  </si>
  <si>
    <t>filasOpenMP (2000) 1 hilo</t>
  </si>
  <si>
    <t>filasOpenMP (2000) 2 hilo</t>
  </si>
  <si>
    <t>filasOpenMP (2000) 4 hilo</t>
  </si>
  <si>
    <t>filasOpenMP (2000) 8 hilo</t>
  </si>
  <si>
    <t>filasOpenMP (2000) 12 hilo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</si>
</sst>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mmClasicaFork(500x500)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'fork 500'!$D$39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'fork 500'!$D$40:$D$44</c:f>
              <c:numCache>
                <c:formatCode>General</c:formatCode>
                <c:ptCount val="5"/>
                <c:pt idx="0">
                  <c:v>479538.36666666664</c:v>
                </c:pt>
                <c:pt idx="1">
                  <c:v>248602.1</c:v>
                </c:pt>
                <c:pt idx="2">
                  <c:v>192638.43333333332</c:v>
                </c:pt>
                <c:pt idx="3">
                  <c:v>162914.86666666667</c:v>
                </c:pt>
                <c:pt idx="4">
                  <c:v>138511.5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15-8845-91FA-12851F07F2F4}"/>
            </c:ext>
          </c:extLst>
        </c:ser>
        <c:ser>
          <c:idx val="1"/>
          <c:order val="1"/>
          <c:tx>
            <c:strRef>
              <c:f>'fork 500'!$E$39</c:f>
              <c:strCache>
                <c:ptCount val="1"/>
                <c:pt idx="0">
                  <c:v>Procesos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'fork 500'!$E$40:$E$44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415-8845-91FA-12851F07F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3730956"/>
        <c:axId val="1052090580"/>
        <c:axId val="0"/>
      </c:bar3DChart>
      <c:catAx>
        <c:axId val="133730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Procesos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52090580"/>
        <c:crosses val="autoZero"/>
        <c:auto val="1"/>
        <c:lblAlgn val="ctr"/>
        <c:lblOffset val="100"/>
        <c:noMultiLvlLbl val="1"/>
      </c:catAx>
      <c:valAx>
        <c:axId val="1052090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37309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mmClasicaFork(700x700)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'fokr 700'!$E$40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'fokr 700'!$E$41:$E$45</c:f>
              <c:numCache>
                <c:formatCode>General</c:formatCode>
                <c:ptCount val="5"/>
                <c:pt idx="0">
                  <c:v>1346088.1666666667</c:v>
                </c:pt>
                <c:pt idx="1">
                  <c:v>686889.2</c:v>
                </c:pt>
                <c:pt idx="2">
                  <c:v>345173</c:v>
                </c:pt>
                <c:pt idx="3">
                  <c:v>373194.83333333331</c:v>
                </c:pt>
                <c:pt idx="4">
                  <c:v>342813.66666666669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A0F-C04A-AC94-B0D3F413AD51}"/>
            </c:ext>
          </c:extLst>
        </c:ser>
        <c:ser>
          <c:idx val="1"/>
          <c:order val="1"/>
          <c:tx>
            <c:strRef>
              <c:f>'fokr 700'!$F$40</c:f>
              <c:strCache>
                <c:ptCount val="1"/>
                <c:pt idx="0">
                  <c:v>Procesos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'fokr 700'!$F$41:$F$45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A0F-C04A-AC94-B0D3F413A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9349668"/>
        <c:axId val="925394421"/>
        <c:axId val="0"/>
      </c:bar3DChart>
      <c:catAx>
        <c:axId val="279349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Procesos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925394421"/>
        <c:crosses val="autoZero"/>
        <c:auto val="1"/>
        <c:lblAlgn val="ctr"/>
        <c:lblOffset val="100"/>
        <c:noMultiLvlLbl val="1"/>
      </c:catAx>
      <c:valAx>
        <c:axId val="925394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793496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mmClasicaFork(900x900)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'fork 900'!$F$41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'fork 900'!$F$42:$F$46</c:f>
              <c:numCache>
                <c:formatCode>General</c:formatCode>
                <c:ptCount val="5"/>
                <c:pt idx="0">
                  <c:v>3209446</c:v>
                </c:pt>
                <c:pt idx="1">
                  <c:v>1595046.0666666667</c:v>
                </c:pt>
                <c:pt idx="2">
                  <c:v>744515.6333333333</c:v>
                </c:pt>
                <c:pt idx="3">
                  <c:v>747485.73333333328</c:v>
                </c:pt>
                <c:pt idx="4">
                  <c:v>739925.6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06A-8745-BAAA-DB94CF2C38D9}"/>
            </c:ext>
          </c:extLst>
        </c:ser>
        <c:ser>
          <c:idx val="1"/>
          <c:order val="1"/>
          <c:tx>
            <c:strRef>
              <c:f>'fork 900'!$G$41</c:f>
              <c:strCache>
                <c:ptCount val="1"/>
                <c:pt idx="0">
                  <c:v>Procesos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'fork 900'!$G$42:$G$46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06A-8745-BAAA-DB94CF2C3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62442960"/>
        <c:axId val="855728669"/>
        <c:axId val="0"/>
      </c:bar3DChart>
      <c:catAx>
        <c:axId val="662442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Procesos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855728669"/>
        <c:crosses val="autoZero"/>
        <c:auto val="1"/>
        <c:lblAlgn val="ctr"/>
        <c:lblOffset val="100"/>
        <c:noMultiLvlLbl val="1"/>
      </c:catAx>
      <c:valAx>
        <c:axId val="855728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6624429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mmClasicaFork(1200x1200)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'fork 1200'!$E$38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'fork 1200'!$E$39:$E$43</c:f>
              <c:numCache>
                <c:formatCode>General</c:formatCode>
                <c:ptCount val="5"/>
                <c:pt idx="0">
                  <c:v>8585817.5666666664</c:v>
                </c:pt>
                <c:pt idx="1">
                  <c:v>4174620.7666666666</c:v>
                </c:pt>
                <c:pt idx="2">
                  <c:v>1904958.3666666667</c:v>
                </c:pt>
                <c:pt idx="3">
                  <c:v>1825355.8</c:v>
                </c:pt>
                <c:pt idx="4">
                  <c:v>1732567.7666666666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0B2-744A-B501-7D84F6ABDE30}"/>
            </c:ext>
          </c:extLst>
        </c:ser>
        <c:ser>
          <c:idx val="1"/>
          <c:order val="1"/>
          <c:tx>
            <c:strRef>
              <c:f>'fork 1200'!$F$38</c:f>
              <c:strCache>
                <c:ptCount val="1"/>
                <c:pt idx="0">
                  <c:v>Procesos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'fork 1200'!$F$39:$F$43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0B2-744A-B501-7D84F6ABD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02540680"/>
        <c:axId val="2005224592"/>
        <c:axId val="0"/>
      </c:bar3DChart>
      <c:catAx>
        <c:axId val="1302540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Procesos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005224592"/>
        <c:crosses val="autoZero"/>
        <c:auto val="1"/>
        <c:lblAlgn val="ctr"/>
        <c:lblOffset val="100"/>
        <c:noMultiLvlLbl val="1"/>
      </c:catAx>
      <c:valAx>
        <c:axId val="2005224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025406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mmClasicaFork(1500x1500)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'fork 1500'!$E$39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'fork 1500'!$E$40:$E$44</c:f>
              <c:numCache>
                <c:formatCode>General</c:formatCode>
                <c:ptCount val="5"/>
                <c:pt idx="0">
                  <c:v>20074662.433333334</c:v>
                </c:pt>
                <c:pt idx="1">
                  <c:v>9870537.5999999996</c:v>
                </c:pt>
                <c:pt idx="2">
                  <c:v>4624925.666666667</c:v>
                </c:pt>
                <c:pt idx="3">
                  <c:v>3924588.5666666669</c:v>
                </c:pt>
                <c:pt idx="4">
                  <c:v>3776611.8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12-9444-A42E-23683357E58F}"/>
            </c:ext>
          </c:extLst>
        </c:ser>
        <c:ser>
          <c:idx val="1"/>
          <c:order val="1"/>
          <c:tx>
            <c:strRef>
              <c:f>'fork 1500'!$F$39</c:f>
              <c:strCache>
                <c:ptCount val="1"/>
                <c:pt idx="0">
                  <c:v>Procesos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'fork 1500'!$F$40:$F$44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C12-9444-A42E-23683357E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38321730"/>
        <c:axId val="1861665978"/>
        <c:axId val="0"/>
      </c:bar3DChart>
      <c:catAx>
        <c:axId val="1338321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Procesos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861665978"/>
        <c:crosses val="autoZero"/>
        <c:auto val="1"/>
        <c:lblAlgn val="ctr"/>
        <c:lblOffset val="100"/>
        <c:noMultiLvlLbl val="1"/>
      </c:catAx>
      <c:valAx>
        <c:axId val="18616659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383217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mmClasicaFork(1700x1700)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'fork 1700'!$D$39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'fork 1700'!$D$40:$D$44</c:f>
              <c:numCache>
                <c:formatCode>General</c:formatCode>
                <c:ptCount val="5"/>
                <c:pt idx="0">
                  <c:v>29363483.899999999</c:v>
                </c:pt>
                <c:pt idx="1">
                  <c:v>14768259.133333333</c:v>
                </c:pt>
                <c:pt idx="2">
                  <c:v>6972179.7666666666</c:v>
                </c:pt>
                <c:pt idx="3">
                  <c:v>5937080.4000000004</c:v>
                </c:pt>
                <c:pt idx="4">
                  <c:v>5858080.7999999998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600-DF44-8D25-D7006A716D8F}"/>
            </c:ext>
          </c:extLst>
        </c:ser>
        <c:ser>
          <c:idx val="1"/>
          <c:order val="1"/>
          <c:tx>
            <c:strRef>
              <c:f>'fork 1700'!$E$39</c:f>
              <c:strCache>
                <c:ptCount val="1"/>
                <c:pt idx="0">
                  <c:v>Procesos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'fork 1700'!$E$40:$E$44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600-DF44-8D25-D7006A716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5345310"/>
        <c:axId val="1061112247"/>
        <c:axId val="0"/>
      </c:bar3DChart>
      <c:catAx>
        <c:axId val="1595345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Procesos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61112247"/>
        <c:crosses val="autoZero"/>
        <c:auto val="1"/>
        <c:lblAlgn val="ctr"/>
        <c:lblOffset val="100"/>
        <c:noMultiLvlLbl val="1"/>
      </c:catAx>
      <c:valAx>
        <c:axId val="1061112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5953453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mmClasicaFork(2000)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'fork 2000'!$E$37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'fork 2000'!$E$38:$E$42</c:f>
              <c:numCache>
                <c:formatCode>General</c:formatCode>
                <c:ptCount val="5"/>
                <c:pt idx="0">
                  <c:v>48935755.5</c:v>
                </c:pt>
                <c:pt idx="1">
                  <c:v>24750198.033333335</c:v>
                </c:pt>
                <c:pt idx="2">
                  <c:v>12296145.566666666</c:v>
                </c:pt>
                <c:pt idx="3">
                  <c:v>11666748.800000001</c:v>
                </c:pt>
                <c:pt idx="4">
                  <c:v>11599404.733333332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A82-B844-93D6-3A32C9C32CC9}"/>
            </c:ext>
          </c:extLst>
        </c:ser>
        <c:ser>
          <c:idx val="1"/>
          <c:order val="1"/>
          <c:tx>
            <c:strRef>
              <c:f>'fork 2000'!$F$37</c:f>
              <c:strCache>
                <c:ptCount val="1"/>
                <c:pt idx="0">
                  <c:v>Procesos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'fork 2000'!$F$38:$F$42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A82-B844-93D6-3A32C9C32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10668746"/>
        <c:axId val="2125438436"/>
        <c:axId val="0"/>
      </c:bar3DChart>
      <c:catAx>
        <c:axId val="1810668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Procesos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125438436"/>
        <c:crosses val="autoZero"/>
        <c:auto val="1"/>
        <c:lblAlgn val="ctr"/>
        <c:lblOffset val="100"/>
        <c:noMultiLvlLbl val="1"/>
      </c:catAx>
      <c:valAx>
        <c:axId val="2125438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8106687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mmClasicaosix(500x500)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posix500!$E$36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posix500!$E$37:$E$41</c:f>
              <c:numCache>
                <c:formatCode>General</c:formatCode>
                <c:ptCount val="5"/>
                <c:pt idx="0">
                  <c:v>483325.16666666669</c:v>
                </c:pt>
                <c:pt idx="1">
                  <c:v>257924.56666666668</c:v>
                </c:pt>
                <c:pt idx="2">
                  <c:v>129234.63333333333</c:v>
                </c:pt>
                <c:pt idx="3">
                  <c:v>124547.8</c:v>
                </c:pt>
                <c:pt idx="4">
                  <c:v>123877.06666666667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8FB-684C-AF91-A31ABFE19560}"/>
            </c:ext>
          </c:extLst>
        </c:ser>
        <c:ser>
          <c:idx val="1"/>
          <c:order val="1"/>
          <c:tx>
            <c:strRef>
              <c:f>posix500!$F$36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posix500!$F$37:$F$41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8FB-684C-AF91-A31ABFE19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9411459"/>
        <c:axId val="1491243077"/>
        <c:axId val="0"/>
      </c:bar3DChart>
      <c:catAx>
        <c:axId val="2119411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491243077"/>
        <c:crosses val="autoZero"/>
        <c:auto val="1"/>
        <c:lblAlgn val="ctr"/>
        <c:lblOffset val="100"/>
        <c:noMultiLvlLbl val="1"/>
      </c:catAx>
      <c:valAx>
        <c:axId val="1491243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1194114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mmClasicaPosix(700x700)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'posix 700'!$E$38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'posix 700'!$E$39:$E$43</c:f>
              <c:numCache>
                <c:formatCode>General</c:formatCode>
                <c:ptCount val="5"/>
                <c:pt idx="0">
                  <c:v>1318685.8999999999</c:v>
                </c:pt>
                <c:pt idx="1">
                  <c:v>695681.3</c:v>
                </c:pt>
                <c:pt idx="2">
                  <c:v>340540.46666666667</c:v>
                </c:pt>
                <c:pt idx="3">
                  <c:v>331690.7</c:v>
                </c:pt>
                <c:pt idx="4">
                  <c:v>332458.90000000002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17E-A249-AF1B-1537DB9CE9F3}"/>
            </c:ext>
          </c:extLst>
        </c:ser>
        <c:ser>
          <c:idx val="1"/>
          <c:order val="1"/>
          <c:tx>
            <c:strRef>
              <c:f>'posix 700'!$F$38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'posix 700'!$F$39:$F$43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17E-A249-AF1B-1537DB9CE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7114549"/>
        <c:axId val="130358063"/>
        <c:axId val="0"/>
      </c:bar3DChart>
      <c:catAx>
        <c:axId val="287114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0358063"/>
        <c:crosses val="autoZero"/>
        <c:auto val="1"/>
        <c:lblAlgn val="ctr"/>
        <c:lblOffset val="100"/>
        <c:noMultiLvlLbl val="1"/>
      </c:catAx>
      <c:valAx>
        <c:axId val="130358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871145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mmClasicaPosix(900x900)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'posix 900'!$E$37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'posix 900'!$E$38:$E$42</c:f>
              <c:numCache>
                <c:formatCode>General</c:formatCode>
                <c:ptCount val="5"/>
                <c:pt idx="0">
                  <c:v>3115128.5333333332</c:v>
                </c:pt>
                <c:pt idx="1">
                  <c:v>1559980.0666666667</c:v>
                </c:pt>
                <c:pt idx="2">
                  <c:v>747145.9</c:v>
                </c:pt>
                <c:pt idx="3">
                  <c:v>728511.56666666665</c:v>
                </c:pt>
                <c:pt idx="4">
                  <c:v>727168.56666666665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968-F84F-914A-1884391AB535}"/>
            </c:ext>
          </c:extLst>
        </c:ser>
        <c:ser>
          <c:idx val="1"/>
          <c:order val="1"/>
          <c:tx>
            <c:strRef>
              <c:f>'posix 900'!$F$37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'posix 900'!$F$38:$F$42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968-F84F-914A-1884391AB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2710285"/>
        <c:axId val="478868113"/>
        <c:axId val="0"/>
      </c:bar3DChart>
      <c:catAx>
        <c:axId val="1002710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478868113"/>
        <c:crosses val="autoZero"/>
        <c:auto val="1"/>
        <c:lblAlgn val="ctr"/>
        <c:lblOffset val="100"/>
        <c:noMultiLvlLbl val="1"/>
      </c:catAx>
      <c:valAx>
        <c:axId val="478868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027102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mmClasicaPosix(1200x1200)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'psoxi 1200'!$E$40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'psoxi 1200'!$E$41:$E$45</c:f>
              <c:numCache>
                <c:formatCode>General</c:formatCode>
                <c:ptCount val="5"/>
                <c:pt idx="0">
                  <c:v>8368612.2000000002</c:v>
                </c:pt>
                <c:pt idx="1">
                  <c:v>4047972</c:v>
                </c:pt>
                <c:pt idx="2">
                  <c:v>1891565.7333333334</c:v>
                </c:pt>
                <c:pt idx="3">
                  <c:v>1821917.3666666667</c:v>
                </c:pt>
                <c:pt idx="4">
                  <c:v>1729924.7333333334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77A-E846-85DF-A2102FA1E802}"/>
            </c:ext>
          </c:extLst>
        </c:ser>
        <c:ser>
          <c:idx val="1"/>
          <c:order val="1"/>
          <c:tx>
            <c:strRef>
              <c:f>'psoxi 1200'!$F$40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'psoxi 1200'!$F$41:$F$45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77A-E846-85DF-A2102FA1E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0500845"/>
        <c:axId val="907696247"/>
        <c:axId val="0"/>
      </c:bar3DChart>
      <c:catAx>
        <c:axId val="860500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907696247"/>
        <c:crosses val="autoZero"/>
        <c:auto val="1"/>
        <c:lblAlgn val="ctr"/>
        <c:lblOffset val="100"/>
        <c:noMultiLvlLbl val="1"/>
      </c:catAx>
      <c:valAx>
        <c:axId val="907696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8605008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mmClasicaPosix(1500x1500)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'posixx 1500'!$E$41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'posixx 1500'!$E$42:$E$46</c:f>
              <c:numCache>
                <c:formatCode>General</c:formatCode>
                <c:ptCount val="5"/>
                <c:pt idx="0">
                  <c:v>19766952.233333334</c:v>
                </c:pt>
                <c:pt idx="1">
                  <c:v>9822715.0333333332</c:v>
                </c:pt>
                <c:pt idx="2">
                  <c:v>4606467.666666667</c:v>
                </c:pt>
                <c:pt idx="3">
                  <c:v>3852420.8333333335</c:v>
                </c:pt>
                <c:pt idx="4">
                  <c:v>3711799.9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B28-1E46-98B2-83957A20DAA9}"/>
            </c:ext>
          </c:extLst>
        </c:ser>
        <c:ser>
          <c:idx val="1"/>
          <c:order val="1"/>
          <c:tx>
            <c:strRef>
              <c:f>'posixx 1500'!$F$41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'posixx 1500'!$F$42:$F$46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B28-1E46-98B2-83957A20D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0767193"/>
        <c:axId val="519339608"/>
        <c:axId val="0"/>
      </c:bar3DChart>
      <c:catAx>
        <c:axId val="320767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519339608"/>
        <c:crosses val="autoZero"/>
        <c:auto val="1"/>
        <c:lblAlgn val="ctr"/>
        <c:lblOffset val="100"/>
        <c:noMultiLvlLbl val="1"/>
      </c:catAx>
      <c:valAx>
        <c:axId val="519339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207671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mmClasicaPosix(1700x1700)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'posix 1700'!$E$36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'posix 1700'!$E$37:$E$41</c:f>
              <c:numCache>
                <c:formatCode>General</c:formatCode>
                <c:ptCount val="5"/>
                <c:pt idx="0">
                  <c:v>30005754.533333335</c:v>
                </c:pt>
                <c:pt idx="1">
                  <c:v>14853808.633333333</c:v>
                </c:pt>
                <c:pt idx="2">
                  <c:v>7039365.1333333338</c:v>
                </c:pt>
                <c:pt idx="3">
                  <c:v>5867116.0333333332</c:v>
                </c:pt>
                <c:pt idx="4">
                  <c:v>5741279.7999999998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D46-984B-94AB-EAD24ACC338A}"/>
            </c:ext>
          </c:extLst>
        </c:ser>
        <c:ser>
          <c:idx val="1"/>
          <c:order val="1"/>
          <c:tx>
            <c:strRef>
              <c:f>'posix 1700'!$F$36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'posix 1700'!$F$37:$F$41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D46-984B-94AB-EAD24ACC3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94636727"/>
        <c:axId val="1255117163"/>
        <c:axId val="0"/>
      </c:bar3DChart>
      <c:catAx>
        <c:axId val="794636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255117163"/>
        <c:crosses val="autoZero"/>
        <c:auto val="1"/>
        <c:lblAlgn val="ctr"/>
        <c:lblOffset val="100"/>
        <c:noMultiLvlLbl val="1"/>
      </c:catAx>
      <c:valAx>
        <c:axId val="1255117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7946367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mmClasicaPosix(2000x2000)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'psoxi 2000'!$E$38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'psoxi 2000'!$E$39:$E$43</c:f>
              <c:numCache>
                <c:formatCode>General</c:formatCode>
                <c:ptCount val="5"/>
                <c:pt idx="0">
                  <c:v>82656800.666666672</c:v>
                </c:pt>
                <c:pt idx="1">
                  <c:v>43105634.766666666</c:v>
                </c:pt>
                <c:pt idx="2">
                  <c:v>21279714.766666666</c:v>
                </c:pt>
                <c:pt idx="3">
                  <c:v>20350293.333333332</c:v>
                </c:pt>
                <c:pt idx="4">
                  <c:v>20180440.233333334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601-8142-ACAF-17392B1CAAE9}"/>
            </c:ext>
          </c:extLst>
        </c:ser>
        <c:ser>
          <c:idx val="1"/>
          <c:order val="1"/>
          <c:tx>
            <c:strRef>
              <c:f>'psoxi 2000'!$F$38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'psoxi 2000'!$F$39:$F$43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601-8142-ACAF-17392B1CA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6018986"/>
        <c:axId val="378536325"/>
        <c:axId val="0"/>
      </c:bar3DChart>
      <c:catAx>
        <c:axId val="1016018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78536325"/>
        <c:crosses val="autoZero"/>
        <c:auto val="1"/>
        <c:lblAlgn val="ctr"/>
        <c:lblOffset val="100"/>
        <c:noMultiLvlLbl val="1"/>
      </c:catAx>
      <c:valAx>
        <c:axId val="378536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160189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mmClasicaOpenMP(500x500)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'clasica open 500'!$B$36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'clasica open 500'!$C$37:$C$41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'clasica open 500'!$B$37:$B$41</c:f>
              <c:numCache>
                <c:formatCode>General</c:formatCode>
                <c:ptCount val="5"/>
                <c:pt idx="0">
                  <c:v>189846.56666666668</c:v>
                </c:pt>
                <c:pt idx="1">
                  <c:v>100191.83333333333</c:v>
                </c:pt>
                <c:pt idx="2">
                  <c:v>53429.73333333333</c:v>
                </c:pt>
                <c:pt idx="3">
                  <c:v>52088.4</c:v>
                </c:pt>
                <c:pt idx="4">
                  <c:v>50548.23333333333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AC-1947-88EF-9831FCE79FDB}"/>
            </c:ext>
          </c:extLst>
        </c:ser>
        <c:ser>
          <c:idx val="1"/>
          <c:order val="1"/>
          <c:tx>
            <c:strRef>
              <c:f>'clasica open 500'!$C$36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'clasica open 500'!$C$37:$C$41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'clasica open 500'!$C$37:$C$41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CAC-1947-88EF-9831FCE79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3386599"/>
        <c:axId val="236568990"/>
        <c:axId val="0"/>
      </c:bar3DChart>
      <c:catAx>
        <c:axId val="1943386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layout>
            <c:manualLayout>
              <c:xMode val="edge"/>
              <c:yMode val="edge"/>
              <c:x val="0.10823828125000001"/>
              <c:y val="0.924895397489539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36568990"/>
        <c:crosses val="autoZero"/>
        <c:auto val="1"/>
        <c:lblAlgn val="ctr"/>
        <c:lblOffset val="100"/>
        <c:noMultiLvlLbl val="1"/>
      </c:catAx>
      <c:valAx>
        <c:axId val="236568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9433865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mmClasicaOpenMP(700x700)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 open 700'!$B$36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 open 700'!$C$37:$C$41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'c open 700'!$B$37:$B$41</c:f>
              <c:numCache>
                <c:formatCode>General</c:formatCode>
                <c:ptCount val="5"/>
                <c:pt idx="0">
                  <c:v>528607.16666666663</c:v>
                </c:pt>
                <c:pt idx="1">
                  <c:v>272168.66666666669</c:v>
                </c:pt>
                <c:pt idx="2">
                  <c:v>142501.93333333332</c:v>
                </c:pt>
                <c:pt idx="3">
                  <c:v>138159.53333333333</c:v>
                </c:pt>
                <c:pt idx="4">
                  <c:v>140376.13333333333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65-0848-B7C0-2D59B7297F26}"/>
            </c:ext>
          </c:extLst>
        </c:ser>
        <c:ser>
          <c:idx val="1"/>
          <c:order val="1"/>
          <c:tx>
            <c:strRef>
              <c:f>'c open 700'!$C$36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 open 700'!$C$37:$C$41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'c open 700'!$C$37:$C$41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B65-0848-B7C0-2D59B7297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920751"/>
        <c:axId val="621651864"/>
        <c:axId val="0"/>
      </c:bar3DChart>
      <c:catAx>
        <c:axId val="50920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layout>
            <c:manualLayout>
              <c:xMode val="edge"/>
              <c:yMode val="edge"/>
              <c:x val="0.10823828125000001"/>
              <c:y val="0.924895397489539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621651864"/>
        <c:crosses val="autoZero"/>
        <c:auto val="1"/>
        <c:lblAlgn val="ctr"/>
        <c:lblOffset val="100"/>
        <c:noMultiLvlLbl val="1"/>
      </c:catAx>
      <c:valAx>
        <c:axId val="621651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5092075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mmClasicaOpenMP(900x900)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 open 900'!$B$36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 open 900'!$C$37:$C$41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'c open 900'!$B$37:$B$41</c:f>
              <c:numCache>
                <c:formatCode>General</c:formatCode>
                <c:ptCount val="5"/>
                <c:pt idx="0">
                  <c:v>1163733.5355555557</c:v>
                </c:pt>
                <c:pt idx="1">
                  <c:v>587521.86222222226</c:v>
                </c:pt>
                <c:pt idx="2">
                  <c:v>295784.75</c:v>
                </c:pt>
                <c:pt idx="3">
                  <c:v>292120.34444444446</c:v>
                </c:pt>
                <c:pt idx="4">
                  <c:v>288189.91333333333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F2-654A-A8A7-88A1637C3465}"/>
            </c:ext>
          </c:extLst>
        </c:ser>
        <c:ser>
          <c:idx val="1"/>
          <c:order val="1"/>
          <c:tx>
            <c:strRef>
              <c:f>'c open 900'!$C$36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 open 900'!$C$37:$C$41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'c open 900'!$C$37:$C$41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CF2-654A-A8A7-88A1637C3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7497744"/>
        <c:axId val="866775466"/>
        <c:axId val="0"/>
      </c:bar3DChart>
      <c:catAx>
        <c:axId val="171749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layout>
            <c:manualLayout>
              <c:xMode val="edge"/>
              <c:yMode val="edge"/>
              <c:x val="0.10823828125000001"/>
              <c:y val="0.924895397489539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866775466"/>
        <c:crosses val="autoZero"/>
        <c:auto val="1"/>
        <c:lblAlgn val="ctr"/>
        <c:lblOffset val="100"/>
        <c:noMultiLvlLbl val="1"/>
      </c:catAx>
      <c:valAx>
        <c:axId val="866775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71749774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mmClasicaOpenMP(1200x1200)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 open 1200'!$B$36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 open 1200'!$C$37:$C$41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'c open 1200'!$B$37:$B$41</c:f>
              <c:numCache>
                <c:formatCode>General</c:formatCode>
                <c:ptCount val="5"/>
                <c:pt idx="0">
                  <c:v>3205882.3</c:v>
                </c:pt>
                <c:pt idx="1">
                  <c:v>1525622.6666666667</c:v>
                </c:pt>
                <c:pt idx="2">
                  <c:v>743009.3</c:v>
                </c:pt>
                <c:pt idx="3">
                  <c:v>729794</c:v>
                </c:pt>
                <c:pt idx="4">
                  <c:v>711882.83333333337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D59-9B4F-9E59-B1BA50FAAE8D}"/>
            </c:ext>
          </c:extLst>
        </c:ser>
        <c:ser>
          <c:idx val="1"/>
          <c:order val="1"/>
          <c:tx>
            <c:strRef>
              <c:f>'c open 1200'!$C$36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 open 1200'!$C$37:$C$41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'c open 1200'!$C$37:$C$41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D59-9B4F-9E59-B1BA50FAA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7098600"/>
        <c:axId val="469948658"/>
        <c:axId val="0"/>
      </c:bar3DChart>
      <c:catAx>
        <c:axId val="1517098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layout>
            <c:manualLayout>
              <c:xMode val="edge"/>
              <c:yMode val="edge"/>
              <c:x val="0.10823828125000001"/>
              <c:y val="0.924895397489539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469948658"/>
        <c:crosses val="autoZero"/>
        <c:auto val="1"/>
        <c:lblAlgn val="ctr"/>
        <c:lblOffset val="100"/>
        <c:noMultiLvlLbl val="1"/>
      </c:catAx>
      <c:valAx>
        <c:axId val="469948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5170986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mmClasicaOpenMP(1500x1500)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 open 1500'!$B$36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 open 1500'!$C$37:$C$41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'c open 1500'!$B$37:$B$41</c:f>
              <c:numCache>
                <c:formatCode>General</c:formatCode>
                <c:ptCount val="5"/>
                <c:pt idx="0">
                  <c:v>6979319.7999999998</c:v>
                </c:pt>
                <c:pt idx="1">
                  <c:v>3468550.2</c:v>
                </c:pt>
                <c:pt idx="2">
                  <c:v>1608475.6333333333</c:v>
                </c:pt>
                <c:pt idx="3">
                  <c:v>1536990.3666666667</c:v>
                </c:pt>
                <c:pt idx="4">
                  <c:v>1484277.8333333333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DAC-7448-A294-27757B821EF5}"/>
            </c:ext>
          </c:extLst>
        </c:ser>
        <c:ser>
          <c:idx val="1"/>
          <c:order val="1"/>
          <c:tx>
            <c:strRef>
              <c:f>'c open 1500'!$C$36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 open 1500'!$C$37:$C$41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'c open 1500'!$C$37:$C$41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DAC-7448-A294-27757B821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7394400"/>
        <c:axId val="381414375"/>
        <c:axId val="0"/>
      </c:bar3DChart>
      <c:catAx>
        <c:axId val="937394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layout>
            <c:manualLayout>
              <c:xMode val="edge"/>
              <c:yMode val="edge"/>
              <c:x val="0.10823828125000001"/>
              <c:y val="0.924895397489539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81414375"/>
        <c:crosses val="autoZero"/>
        <c:auto val="1"/>
        <c:lblAlgn val="ctr"/>
        <c:lblOffset val="100"/>
        <c:noMultiLvlLbl val="1"/>
      </c:catAx>
      <c:valAx>
        <c:axId val="381414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9373944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mmClasicaOpenMP(1700x1700)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 open 1700'!$B$36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 open 1700'!$C$37:$C$41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'c open 1700'!$B$37:$B$41</c:f>
              <c:numCache>
                <c:formatCode>General</c:formatCode>
                <c:ptCount val="5"/>
                <c:pt idx="0">
                  <c:v>12457589</c:v>
                </c:pt>
                <c:pt idx="1">
                  <c:v>6355032.9666666668</c:v>
                </c:pt>
                <c:pt idx="2">
                  <c:v>2883906.2333333334</c:v>
                </c:pt>
                <c:pt idx="3">
                  <c:v>2606469.2999999998</c:v>
                </c:pt>
                <c:pt idx="4">
                  <c:v>2580556.6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72C-694F-BF27-71861F8740F8}"/>
            </c:ext>
          </c:extLst>
        </c:ser>
        <c:ser>
          <c:idx val="1"/>
          <c:order val="1"/>
          <c:tx>
            <c:strRef>
              <c:f>'c open 1700'!$C$36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 open 1700'!$C$37:$C$41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'c open 1700'!$C$37:$C$41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72C-694F-BF27-71861F874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1013393"/>
        <c:axId val="943918817"/>
        <c:axId val="0"/>
      </c:bar3DChart>
      <c:catAx>
        <c:axId val="331013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layout>
            <c:manualLayout>
              <c:xMode val="edge"/>
              <c:yMode val="edge"/>
              <c:x val="0.10823828125000001"/>
              <c:y val="0.924895397489539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943918817"/>
        <c:crosses val="autoZero"/>
        <c:auto val="1"/>
        <c:lblAlgn val="ctr"/>
        <c:lblOffset val="100"/>
        <c:noMultiLvlLbl val="1"/>
      </c:catAx>
      <c:valAx>
        <c:axId val="9439188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310133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mmClasicaOpenMP(2000x2000)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 open 2000'!$B$36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 open 2000'!$C$37:$C$41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'c open 2000'!$B$37:$B$41</c:f>
              <c:numCache>
                <c:formatCode>General</c:formatCode>
                <c:ptCount val="5"/>
                <c:pt idx="0">
                  <c:v>36438187.333333336</c:v>
                </c:pt>
                <c:pt idx="1">
                  <c:v>18500623.899999999</c:v>
                </c:pt>
                <c:pt idx="2">
                  <c:v>9069271.8000000007</c:v>
                </c:pt>
                <c:pt idx="3">
                  <c:v>8615382.7666666675</c:v>
                </c:pt>
                <c:pt idx="4">
                  <c:v>8576592.7666666675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50-C84D-9EC3-F03B615609E5}"/>
            </c:ext>
          </c:extLst>
        </c:ser>
        <c:ser>
          <c:idx val="1"/>
          <c:order val="1"/>
          <c:tx>
            <c:strRef>
              <c:f>'c open 2000'!$C$36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 open 2000'!$C$37:$C$41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'c open 2000'!$C$37:$C$41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A50-C84D-9EC3-F03B61560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9527496"/>
        <c:axId val="944025092"/>
        <c:axId val="0"/>
      </c:bar3DChart>
      <c:catAx>
        <c:axId val="1009527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layout>
            <c:manualLayout>
              <c:xMode val="edge"/>
              <c:yMode val="edge"/>
              <c:x val="0.10823828125000001"/>
              <c:y val="0.924895397489539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944025092"/>
        <c:crosses val="autoZero"/>
        <c:auto val="1"/>
        <c:lblAlgn val="ctr"/>
        <c:lblOffset val="100"/>
        <c:noMultiLvlLbl val="1"/>
      </c:catAx>
      <c:valAx>
        <c:axId val="944025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095274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filasOpenMP(500X500)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'filas open 500'!$B$36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'filas open 500'!$C$37:$C$41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'filas open 500'!$B$37:$B$41</c:f>
              <c:numCache>
                <c:formatCode>General</c:formatCode>
                <c:ptCount val="5"/>
                <c:pt idx="0">
                  <c:v>181595.36666666667</c:v>
                </c:pt>
                <c:pt idx="1">
                  <c:v>95359.633333333331</c:v>
                </c:pt>
                <c:pt idx="2">
                  <c:v>50922.6</c:v>
                </c:pt>
                <c:pt idx="3">
                  <c:v>49575.366666666669</c:v>
                </c:pt>
                <c:pt idx="4">
                  <c:v>48998.6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B3F-0846-8599-A1881B41A8A5}"/>
            </c:ext>
          </c:extLst>
        </c:ser>
        <c:ser>
          <c:idx val="1"/>
          <c:order val="1"/>
          <c:tx>
            <c:strRef>
              <c:f>'filas open 500'!$C$36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'filas open 500'!$C$37:$C$41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'filas open 500'!$C$37:$C$41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B3F-0846-8599-A1881B41A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2907656"/>
        <c:axId val="1230041737"/>
        <c:axId val="0"/>
      </c:bar3DChart>
      <c:catAx>
        <c:axId val="432907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layout>
            <c:manualLayout>
              <c:xMode val="edge"/>
              <c:yMode val="edge"/>
              <c:x val="0.10823828125000001"/>
              <c:y val="0.924895397489539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230041737"/>
        <c:crosses val="autoZero"/>
        <c:auto val="1"/>
        <c:lblAlgn val="ctr"/>
        <c:lblOffset val="100"/>
        <c:noMultiLvlLbl val="1"/>
      </c:catAx>
      <c:valAx>
        <c:axId val="1230041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4329076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filasOpenMP(700X700)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'f open 700'!$B$36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 open 700'!$C$37:$C$41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'f open 700'!$B$37:$B$41</c:f>
              <c:numCache>
                <c:formatCode>General</c:formatCode>
                <c:ptCount val="5"/>
                <c:pt idx="0">
                  <c:v>496793.96666666667</c:v>
                </c:pt>
                <c:pt idx="1">
                  <c:v>260026.4</c:v>
                </c:pt>
                <c:pt idx="2">
                  <c:v>135720.20000000001</c:v>
                </c:pt>
                <c:pt idx="3">
                  <c:v>134363.4</c:v>
                </c:pt>
                <c:pt idx="4">
                  <c:v>130669.23333333334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91-4648-880F-AF3F68D698AB}"/>
            </c:ext>
          </c:extLst>
        </c:ser>
        <c:ser>
          <c:idx val="1"/>
          <c:order val="1"/>
          <c:tx>
            <c:strRef>
              <c:f>'f open 700'!$C$36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 open 700'!$C$37:$C$41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'f open 700'!$C$37:$C$41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391-4648-880F-AF3F68D69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7855407"/>
        <c:axId val="1272990863"/>
        <c:axId val="0"/>
      </c:bar3DChart>
      <c:catAx>
        <c:axId val="2117855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layout>
            <c:manualLayout>
              <c:xMode val="edge"/>
              <c:yMode val="edge"/>
              <c:x val="0.10823828125000001"/>
              <c:y val="0.924895397489539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272990863"/>
        <c:crosses val="autoZero"/>
        <c:auto val="1"/>
        <c:lblAlgn val="ctr"/>
        <c:lblOffset val="100"/>
        <c:noMultiLvlLbl val="1"/>
      </c:catAx>
      <c:valAx>
        <c:axId val="1272990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1178554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filasOpenMP(900X900)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'f open 900'!$B$36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 open 900'!$C$37:$C$41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'f open 900'!$B$37:$B$41</c:f>
              <c:numCache>
                <c:formatCode>General</c:formatCode>
                <c:ptCount val="5"/>
                <c:pt idx="0">
                  <c:v>1074010.3</c:v>
                </c:pt>
                <c:pt idx="1">
                  <c:v>554513.66666666663</c:v>
                </c:pt>
                <c:pt idx="2">
                  <c:v>284689.03333333333</c:v>
                </c:pt>
                <c:pt idx="3">
                  <c:v>281087.09999999998</c:v>
                </c:pt>
                <c:pt idx="4">
                  <c:v>277412.96666666667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5A4-964B-88C4-052C474E4E17}"/>
            </c:ext>
          </c:extLst>
        </c:ser>
        <c:ser>
          <c:idx val="1"/>
          <c:order val="1"/>
          <c:tx>
            <c:strRef>
              <c:f>'f open 900'!$C$36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 open 900'!$C$37:$C$41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'f open 900'!$C$37:$C$41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5A4-964B-88C4-052C474E4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1292874"/>
        <c:axId val="382103775"/>
        <c:axId val="0"/>
      </c:bar3DChart>
      <c:catAx>
        <c:axId val="271292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layout>
            <c:manualLayout>
              <c:xMode val="edge"/>
              <c:yMode val="edge"/>
              <c:x val="0.10823828125000001"/>
              <c:y val="0.924895397489539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82103775"/>
        <c:crosses val="autoZero"/>
        <c:auto val="1"/>
        <c:lblAlgn val="ctr"/>
        <c:lblOffset val="100"/>
        <c:noMultiLvlLbl val="1"/>
      </c:catAx>
      <c:valAx>
        <c:axId val="382103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712928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filasOpenMP(1200X1200)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'f oepn 1200'!$B$37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 oepn 1200'!$C$38:$C$42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'f oepn 1200'!$B$38:$B$42</c:f>
              <c:numCache>
                <c:formatCode>General</c:formatCode>
                <c:ptCount val="5"/>
                <c:pt idx="0">
                  <c:v>2619970.9333333331</c:v>
                </c:pt>
                <c:pt idx="1">
                  <c:v>1324167.7333333334</c:v>
                </c:pt>
                <c:pt idx="2">
                  <c:v>672114.2</c:v>
                </c:pt>
                <c:pt idx="3">
                  <c:v>662481.96666666667</c:v>
                </c:pt>
                <c:pt idx="4">
                  <c:v>654536.9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B90-334C-866F-25ACC20C511F}"/>
            </c:ext>
          </c:extLst>
        </c:ser>
        <c:ser>
          <c:idx val="1"/>
          <c:order val="1"/>
          <c:tx>
            <c:strRef>
              <c:f>'f oepn 1200'!$C$37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 oepn 1200'!$C$38:$C$42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'f oepn 1200'!$C$38:$C$42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B90-334C-866F-25ACC20C5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3094110"/>
        <c:axId val="1011151894"/>
        <c:axId val="0"/>
      </c:bar3DChart>
      <c:catAx>
        <c:axId val="1023094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layout>
            <c:manualLayout>
              <c:xMode val="edge"/>
              <c:yMode val="edge"/>
              <c:x val="0.10823828125000001"/>
              <c:y val="0.924895397489539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11151894"/>
        <c:crosses val="autoZero"/>
        <c:auto val="1"/>
        <c:lblAlgn val="ctr"/>
        <c:lblOffset val="100"/>
        <c:noMultiLvlLbl val="1"/>
      </c:catAx>
      <c:valAx>
        <c:axId val="1011151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230941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filasOpenMP(1500X1500)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'f open 1500'!$B$36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 open 1500'!$C$37:$C$41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'f open 1500'!$B$37:$B$41</c:f>
              <c:numCache>
                <c:formatCode>General</c:formatCode>
                <c:ptCount val="5"/>
                <c:pt idx="0">
                  <c:v>5190747.4666666668</c:v>
                </c:pt>
                <c:pt idx="1">
                  <c:v>2627240.0666666669</c:v>
                </c:pt>
                <c:pt idx="2">
                  <c:v>1321654.7333333334</c:v>
                </c:pt>
                <c:pt idx="3">
                  <c:v>1296467.6333333333</c:v>
                </c:pt>
                <c:pt idx="4">
                  <c:v>1291648.3666666667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4E7-3945-8689-B7A1522E77F5}"/>
            </c:ext>
          </c:extLst>
        </c:ser>
        <c:ser>
          <c:idx val="1"/>
          <c:order val="1"/>
          <c:tx>
            <c:strRef>
              <c:f>'f open 1500'!$C$36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 open 1500'!$C$37:$C$41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'f open 1500'!$C$37:$C$41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4E7-3945-8689-B7A1522E7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286811"/>
        <c:axId val="1898188704"/>
        <c:axId val="0"/>
      </c:bar3DChart>
      <c:catAx>
        <c:axId val="152286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layout>
            <c:manualLayout>
              <c:xMode val="edge"/>
              <c:yMode val="edge"/>
              <c:x val="0.10823828125000001"/>
              <c:y val="0.924895397489539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898188704"/>
        <c:crosses val="autoZero"/>
        <c:auto val="1"/>
        <c:lblAlgn val="ctr"/>
        <c:lblOffset val="100"/>
        <c:noMultiLvlLbl val="1"/>
      </c:catAx>
      <c:valAx>
        <c:axId val="1898188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522868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filasOpenMP(1700X1700)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'f open 1700'!$B$36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 open 1700'!$C$37:$C$41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'f open 1700'!$B$37:$B$41</c:f>
              <c:numCache>
                <c:formatCode>General</c:formatCode>
                <c:ptCount val="5"/>
                <c:pt idx="0">
                  <c:v>7186355.7999999998</c:v>
                </c:pt>
                <c:pt idx="1">
                  <c:v>3864077.2</c:v>
                </c:pt>
                <c:pt idx="2">
                  <c:v>1933714.7333333334</c:v>
                </c:pt>
                <c:pt idx="3">
                  <c:v>1914652.1333333333</c:v>
                </c:pt>
                <c:pt idx="4">
                  <c:v>1887116.7666666666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8-0243-AF47-F6EAF7C38541}"/>
            </c:ext>
          </c:extLst>
        </c:ser>
        <c:ser>
          <c:idx val="1"/>
          <c:order val="1"/>
          <c:tx>
            <c:strRef>
              <c:f>'f open 1700'!$C$36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 open 1700'!$C$37:$C$41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'f open 1700'!$C$37:$C$41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388-0243-AF47-F6EAF7C38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14846983"/>
        <c:axId val="1014629009"/>
        <c:axId val="0"/>
      </c:bar3DChart>
      <c:catAx>
        <c:axId val="1914846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layout>
            <c:manualLayout>
              <c:xMode val="edge"/>
              <c:yMode val="edge"/>
              <c:x val="0.10823828125000001"/>
              <c:y val="0.924895397489539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14629009"/>
        <c:crosses val="autoZero"/>
        <c:auto val="1"/>
        <c:lblAlgn val="ctr"/>
        <c:lblOffset val="100"/>
        <c:noMultiLvlLbl val="1"/>
      </c:catAx>
      <c:valAx>
        <c:axId val="1014629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9148469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filasOpenMP(2000X2000)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'f open 2000'!$B$36</c:f>
              <c:strCache>
                <c:ptCount val="1"/>
                <c:pt idx="0">
                  <c:v>Tiempo Promedio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 open 2000'!$C$37:$C$41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'f open 2000'!$B$37:$B$41</c:f>
              <c:numCache>
                <c:formatCode>General</c:formatCode>
                <c:ptCount val="5"/>
                <c:pt idx="0">
                  <c:v>11764559.699999999</c:v>
                </c:pt>
                <c:pt idx="1">
                  <c:v>6311046</c:v>
                </c:pt>
                <c:pt idx="2">
                  <c:v>3208525.6666666665</c:v>
                </c:pt>
                <c:pt idx="3">
                  <c:v>3108133.1666666665</c:v>
                </c:pt>
                <c:pt idx="4">
                  <c:v>3091810.5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AF1-2841-BECC-400998B8B462}"/>
            </c:ext>
          </c:extLst>
        </c:ser>
        <c:ser>
          <c:idx val="1"/>
          <c:order val="1"/>
          <c:tx>
            <c:strRef>
              <c:f>'f open 2000'!$C$36</c:f>
              <c:strCache>
                <c:ptCount val="1"/>
                <c:pt idx="0">
                  <c:v>Hilos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 open 2000'!$C$37:$C$41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'f open 2000'!$C$37:$C$41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AF1-2841-BECC-400998B8B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30622940"/>
        <c:axId val="164256837"/>
        <c:axId val="0"/>
      </c:bar3DChart>
      <c:catAx>
        <c:axId val="2130622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Hilos</a:t>
                </a:r>
              </a:p>
            </c:rich>
          </c:tx>
          <c:layout>
            <c:manualLayout>
              <c:xMode val="edge"/>
              <c:yMode val="edge"/>
              <c:x val="0.10823828125000001"/>
              <c:y val="0.924895397489539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64256837"/>
        <c:crosses val="autoZero"/>
        <c:auto val="1"/>
        <c:lblAlgn val="ctr"/>
        <c:lblOffset val="100"/>
        <c:noMultiLvlLbl val="1"/>
      </c:catAx>
      <c:valAx>
        <c:axId val="164256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(Microsegundos)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1306229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561975</xdr:colOff>
      <xdr:row>37</xdr:row>
      <xdr:rowOff>57150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</xdr:colOff>
      <xdr:row>35</xdr:row>
      <xdr:rowOff>76200</xdr:rowOff>
    </xdr:from>
    <xdr:ext cx="5715000" cy="3533775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228600</xdr:colOff>
      <xdr:row>37</xdr:row>
      <xdr:rowOff>114300</xdr:rowOff>
    </xdr:from>
    <xdr:ext cx="5715000" cy="3533775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314325</xdr:colOff>
      <xdr:row>36</xdr:row>
      <xdr:rowOff>0</xdr:rowOff>
    </xdr:from>
    <xdr:ext cx="5715000" cy="3533775"/>
    <xdr:graphicFrame macro="">
      <xdr:nvGraphicFramePr>
        <xdr:cNvPr id="4" name="Chart 4" title="Gráfic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1057275</xdr:colOff>
      <xdr:row>45</xdr:row>
      <xdr:rowOff>57150</xdr:rowOff>
    </xdr:from>
    <xdr:ext cx="5715000" cy="3533775"/>
    <xdr:graphicFrame macro="">
      <xdr:nvGraphicFramePr>
        <xdr:cNvPr id="5" name="Chart 5" title="Gráfic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469900</xdr:colOff>
      <xdr:row>35</xdr:row>
      <xdr:rowOff>187325</xdr:rowOff>
    </xdr:from>
    <xdr:ext cx="5715000" cy="3533775"/>
    <xdr:graphicFrame macro="">
      <xdr:nvGraphicFramePr>
        <xdr:cNvPr id="6" name="Chart 6" title="Gráfico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485775</xdr:colOff>
      <xdr:row>35</xdr:row>
      <xdr:rowOff>171450</xdr:rowOff>
    </xdr:from>
    <xdr:ext cx="5715000" cy="3533775"/>
    <xdr:graphicFrame macro="">
      <xdr:nvGraphicFramePr>
        <xdr:cNvPr id="7" name="Chart 7" title="Gráfico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35</xdr:row>
      <xdr:rowOff>19050</xdr:rowOff>
    </xdr:from>
    <xdr:ext cx="5715000" cy="3533775"/>
    <xdr:graphicFrame macro="">
      <xdr:nvGraphicFramePr>
        <xdr:cNvPr id="8" name="Chart 8" title="Gráfico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219075</xdr:colOff>
      <xdr:row>35</xdr:row>
      <xdr:rowOff>142875</xdr:rowOff>
    </xdr:from>
    <xdr:ext cx="5715000" cy="3533775"/>
    <xdr:graphicFrame macro="">
      <xdr:nvGraphicFramePr>
        <xdr:cNvPr id="9" name="Chart 9" title="Gráfico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219075</xdr:colOff>
      <xdr:row>35</xdr:row>
      <xdr:rowOff>47625</xdr:rowOff>
    </xdr:from>
    <xdr:ext cx="5715000" cy="3533775"/>
    <xdr:graphicFrame macro="">
      <xdr:nvGraphicFramePr>
        <xdr:cNvPr id="10" name="Chart 10" title="Gráfico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419100</xdr:colOff>
      <xdr:row>37</xdr:row>
      <xdr:rowOff>47625</xdr:rowOff>
    </xdr:from>
    <xdr:ext cx="5715000" cy="3533775"/>
    <xdr:graphicFrame macro="">
      <xdr:nvGraphicFramePr>
        <xdr:cNvPr id="11" name="Chart 11" title="Gráfico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361950</xdr:colOff>
      <xdr:row>37</xdr:row>
      <xdr:rowOff>133350</xdr:rowOff>
    </xdr:from>
    <xdr:ext cx="5715000" cy="3533775"/>
    <xdr:graphicFrame macro="">
      <xdr:nvGraphicFramePr>
        <xdr:cNvPr id="12" name="Chart 12" title="Gráfico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476250</xdr:colOff>
      <xdr:row>34</xdr:row>
      <xdr:rowOff>114300</xdr:rowOff>
    </xdr:from>
    <xdr:ext cx="5715000" cy="3533775"/>
    <xdr:graphicFrame macro="">
      <xdr:nvGraphicFramePr>
        <xdr:cNvPr id="13" name="Chart 13" title="Gráfico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180975</xdr:colOff>
      <xdr:row>36</xdr:row>
      <xdr:rowOff>9525</xdr:rowOff>
    </xdr:from>
    <xdr:ext cx="5715000" cy="3533775"/>
    <xdr:graphicFrame macro="">
      <xdr:nvGraphicFramePr>
        <xdr:cNvPr id="14" name="Chart 14" title="Gráfico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371475</xdr:colOff>
      <xdr:row>14</xdr:row>
      <xdr:rowOff>19050</xdr:rowOff>
    </xdr:from>
    <xdr:ext cx="6038850" cy="4552950"/>
    <xdr:graphicFrame macro="">
      <xdr:nvGraphicFramePr>
        <xdr:cNvPr id="15" name="Chart 15" title="Gráfico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504825</xdr:colOff>
      <xdr:row>10</xdr:row>
      <xdr:rowOff>161925</xdr:rowOff>
    </xdr:from>
    <xdr:ext cx="6038850" cy="4552950"/>
    <xdr:graphicFrame macro="">
      <xdr:nvGraphicFramePr>
        <xdr:cNvPr id="16" name="Chart 16" title="Gráfico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390525</xdr:colOff>
      <xdr:row>9</xdr:row>
      <xdr:rowOff>200025</xdr:rowOff>
    </xdr:from>
    <xdr:ext cx="6038850" cy="4552950"/>
    <xdr:graphicFrame macro="">
      <xdr:nvGraphicFramePr>
        <xdr:cNvPr id="17" name="Chart 17" title="Gráfico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695325</xdr:colOff>
      <xdr:row>8</xdr:row>
      <xdr:rowOff>95250</xdr:rowOff>
    </xdr:from>
    <xdr:ext cx="6038850" cy="4552950"/>
    <xdr:graphicFrame macro="">
      <xdr:nvGraphicFramePr>
        <xdr:cNvPr id="18" name="Chart 18" title="Gráfico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542925</xdr:colOff>
      <xdr:row>11</xdr:row>
      <xdr:rowOff>171450</xdr:rowOff>
    </xdr:from>
    <xdr:ext cx="6038850" cy="4552950"/>
    <xdr:graphicFrame macro="">
      <xdr:nvGraphicFramePr>
        <xdr:cNvPr id="19" name="Chart 19" title="Gráfico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247650</xdr:colOff>
      <xdr:row>8</xdr:row>
      <xdr:rowOff>9525</xdr:rowOff>
    </xdr:from>
    <xdr:ext cx="6038850" cy="4552950"/>
    <xdr:graphicFrame macro="">
      <xdr:nvGraphicFramePr>
        <xdr:cNvPr id="20" name="Chart 20" title="Gráfico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733425</xdr:colOff>
      <xdr:row>8</xdr:row>
      <xdr:rowOff>171450</xdr:rowOff>
    </xdr:from>
    <xdr:ext cx="6038850" cy="4552950"/>
    <xdr:graphicFrame macro="">
      <xdr:nvGraphicFramePr>
        <xdr:cNvPr id="21" name="Chart 21" title="Gráfico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</xdr:colOff>
      <xdr:row>5</xdr:row>
      <xdr:rowOff>142875</xdr:rowOff>
    </xdr:from>
    <xdr:ext cx="6038850" cy="4552950"/>
    <xdr:graphicFrame macro="">
      <xdr:nvGraphicFramePr>
        <xdr:cNvPr id="22" name="Chart 22" title="Gráfico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8</xdr:row>
      <xdr:rowOff>161925</xdr:rowOff>
    </xdr:from>
    <xdr:ext cx="6038850" cy="4552950"/>
    <xdr:graphicFrame macro="">
      <xdr:nvGraphicFramePr>
        <xdr:cNvPr id="23" name="Chart 23" title="Gráfico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485775</xdr:colOff>
      <xdr:row>12</xdr:row>
      <xdr:rowOff>161925</xdr:rowOff>
    </xdr:from>
    <xdr:ext cx="6038850" cy="4552950"/>
    <xdr:graphicFrame macro="">
      <xdr:nvGraphicFramePr>
        <xdr:cNvPr id="24" name="Chart 24" title="Gráfico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276225</xdr:colOff>
      <xdr:row>8</xdr:row>
      <xdr:rowOff>28575</xdr:rowOff>
    </xdr:from>
    <xdr:ext cx="6038850" cy="4552950"/>
    <xdr:graphicFrame macro="">
      <xdr:nvGraphicFramePr>
        <xdr:cNvPr id="25" name="Chart 25" title="Gráfico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933450</xdr:colOff>
      <xdr:row>6</xdr:row>
      <xdr:rowOff>180975</xdr:rowOff>
    </xdr:from>
    <xdr:ext cx="6038850" cy="4552950"/>
    <xdr:graphicFrame macro="">
      <xdr:nvGraphicFramePr>
        <xdr:cNvPr id="26" name="Chart 26" title="Gráfico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838200</xdr:colOff>
      <xdr:row>11</xdr:row>
      <xdr:rowOff>104775</xdr:rowOff>
    </xdr:from>
    <xdr:ext cx="6038850" cy="4552950"/>
    <xdr:graphicFrame macro="">
      <xdr:nvGraphicFramePr>
        <xdr:cNvPr id="27" name="Chart 27" title="Gráfico">
          <a:extLst>
            <a:ext uri="{FF2B5EF4-FFF2-40B4-BE49-F238E27FC236}">
              <a16:creationId xmlns:a16="http://schemas.microsoft.com/office/drawing/2014/main" id="{00000000-0008-0000-1A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438150</xdr:colOff>
      <xdr:row>6</xdr:row>
      <xdr:rowOff>171450</xdr:rowOff>
    </xdr:from>
    <xdr:ext cx="6038850" cy="4552950"/>
    <xdr:graphicFrame macro="">
      <xdr:nvGraphicFramePr>
        <xdr:cNvPr id="28" name="Chart 28" title="Gráfico">
          <a:extLst>
            <a:ext uri="{FF2B5EF4-FFF2-40B4-BE49-F238E27FC236}">
              <a16:creationId xmlns:a16="http://schemas.microsoft.com/office/drawing/2014/main" id="{00000000-0008-0000-1B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4:G44"/>
  <sheetViews>
    <sheetView topLeftCell="A24" workbookViewId="0"/>
  </sheetViews>
  <sheetFormatPr baseColWidth="10" defaultColWidth="12.6640625" defaultRowHeight="15.75" customHeight="1" x14ac:dyDescent="0.15"/>
  <cols>
    <col min="3" max="3" width="23.6640625" customWidth="1"/>
    <col min="4" max="4" width="23.1640625" customWidth="1"/>
    <col min="5" max="5" width="24.33203125" customWidth="1"/>
    <col min="6" max="6" width="22.83203125" customWidth="1"/>
    <col min="7" max="7" width="23.1640625" customWidth="1"/>
  </cols>
  <sheetData>
    <row r="4" spans="2:7" ht="15.75" customHeight="1" x14ac:dyDescent="0.15"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</row>
    <row r="5" spans="2:7" ht="15.75" customHeight="1" x14ac:dyDescent="0.15">
      <c r="B5" s="2">
        <v>1</v>
      </c>
      <c r="C5" s="2">
        <v>486414</v>
      </c>
      <c r="D5" s="2">
        <v>241942</v>
      </c>
      <c r="E5" s="2">
        <v>205296</v>
      </c>
      <c r="F5" s="2">
        <v>170451</v>
      </c>
      <c r="G5" s="2">
        <v>153254</v>
      </c>
    </row>
    <row r="6" spans="2:7" ht="15.75" customHeight="1" x14ac:dyDescent="0.15">
      <c r="B6" s="2">
        <f t="shared" ref="B6:B34" si="0">B5+1</f>
        <v>2</v>
      </c>
      <c r="C6" s="2">
        <v>495495</v>
      </c>
      <c r="D6" s="2">
        <v>240477</v>
      </c>
      <c r="E6" s="2">
        <v>185333</v>
      </c>
      <c r="F6" s="2">
        <v>170634</v>
      </c>
      <c r="G6" s="2">
        <v>159971</v>
      </c>
    </row>
    <row r="7" spans="2:7" ht="15.75" customHeight="1" x14ac:dyDescent="0.15">
      <c r="B7" s="2">
        <f t="shared" si="0"/>
        <v>3</v>
      </c>
      <c r="C7" s="2">
        <v>477796</v>
      </c>
      <c r="D7" s="2">
        <v>246162</v>
      </c>
      <c r="E7" s="2">
        <v>205482</v>
      </c>
      <c r="F7" s="2">
        <v>163794</v>
      </c>
      <c r="G7" s="2">
        <v>157352</v>
      </c>
    </row>
    <row r="8" spans="2:7" ht="15.75" customHeight="1" x14ac:dyDescent="0.15">
      <c r="B8" s="2">
        <f t="shared" si="0"/>
        <v>4</v>
      </c>
      <c r="C8" s="2">
        <v>468795</v>
      </c>
      <c r="D8" s="2">
        <v>239483</v>
      </c>
      <c r="E8" s="2">
        <v>209427</v>
      </c>
      <c r="F8" s="2">
        <v>165208</v>
      </c>
      <c r="G8" s="2">
        <v>147376</v>
      </c>
    </row>
    <row r="9" spans="2:7" ht="15.75" customHeight="1" x14ac:dyDescent="0.15">
      <c r="B9" s="2">
        <f t="shared" si="0"/>
        <v>5</v>
      </c>
      <c r="C9" s="2">
        <v>548556</v>
      </c>
      <c r="D9" s="2">
        <v>236852</v>
      </c>
      <c r="E9" s="2">
        <v>209453</v>
      </c>
      <c r="F9" s="2">
        <v>168122</v>
      </c>
      <c r="G9" s="2">
        <v>157313</v>
      </c>
    </row>
    <row r="10" spans="2:7" ht="15.75" customHeight="1" x14ac:dyDescent="0.15">
      <c r="B10" s="2">
        <f t="shared" si="0"/>
        <v>6</v>
      </c>
      <c r="C10" s="2">
        <v>493773</v>
      </c>
      <c r="D10" s="2">
        <v>256441</v>
      </c>
      <c r="E10" s="2">
        <v>205646</v>
      </c>
      <c r="F10" s="2">
        <v>160615</v>
      </c>
      <c r="G10" s="2">
        <v>148374</v>
      </c>
    </row>
    <row r="11" spans="2:7" ht="15.75" customHeight="1" x14ac:dyDescent="0.15">
      <c r="B11" s="2">
        <f t="shared" si="0"/>
        <v>7</v>
      </c>
      <c r="C11" s="2">
        <v>474057</v>
      </c>
      <c r="D11" s="2">
        <v>243548</v>
      </c>
      <c r="E11" s="2">
        <v>184244</v>
      </c>
      <c r="F11" s="2">
        <v>160869</v>
      </c>
      <c r="G11" s="2">
        <v>168757</v>
      </c>
    </row>
    <row r="12" spans="2:7" ht="15.75" customHeight="1" x14ac:dyDescent="0.15">
      <c r="B12" s="2">
        <f t="shared" si="0"/>
        <v>8</v>
      </c>
      <c r="C12" s="2">
        <v>541904</v>
      </c>
      <c r="D12" s="2">
        <v>272175</v>
      </c>
      <c r="E12" s="2">
        <v>175601</v>
      </c>
      <c r="F12" s="2">
        <v>167785</v>
      </c>
      <c r="G12" s="2">
        <v>163758</v>
      </c>
    </row>
    <row r="13" spans="2:7" ht="15.75" customHeight="1" x14ac:dyDescent="0.15">
      <c r="B13" s="2">
        <f t="shared" si="0"/>
        <v>9</v>
      </c>
      <c r="C13" s="2">
        <v>480527</v>
      </c>
      <c r="D13" s="2">
        <v>240710</v>
      </c>
      <c r="E13" s="2">
        <v>193909</v>
      </c>
      <c r="F13" s="2">
        <v>161760</v>
      </c>
      <c r="G13" s="2">
        <v>158494</v>
      </c>
    </row>
    <row r="14" spans="2:7" ht="15.75" customHeight="1" x14ac:dyDescent="0.15">
      <c r="B14" s="2">
        <f t="shared" si="0"/>
        <v>10</v>
      </c>
      <c r="C14" s="2">
        <v>505717</v>
      </c>
      <c r="D14" s="2">
        <v>243369</v>
      </c>
      <c r="E14" s="2">
        <v>196914</v>
      </c>
      <c r="F14" s="2">
        <v>171578</v>
      </c>
      <c r="G14" s="2">
        <v>153890</v>
      </c>
    </row>
    <row r="15" spans="2:7" ht="15.75" customHeight="1" x14ac:dyDescent="0.15">
      <c r="B15" s="2">
        <f t="shared" si="0"/>
        <v>11</v>
      </c>
      <c r="C15" s="2">
        <v>480230</v>
      </c>
      <c r="D15" s="2">
        <v>259250</v>
      </c>
      <c r="E15" s="2">
        <v>164718</v>
      </c>
      <c r="F15" s="2">
        <v>189633</v>
      </c>
      <c r="G15" s="2">
        <v>136681</v>
      </c>
    </row>
    <row r="16" spans="2:7" ht="15.75" customHeight="1" x14ac:dyDescent="0.15">
      <c r="B16" s="2">
        <f t="shared" si="0"/>
        <v>12</v>
      </c>
      <c r="C16" s="2">
        <v>481261</v>
      </c>
      <c r="D16" s="2">
        <v>244139</v>
      </c>
      <c r="E16" s="2">
        <v>160508</v>
      </c>
      <c r="F16" s="2">
        <v>171713</v>
      </c>
      <c r="G16" s="2">
        <v>132329</v>
      </c>
    </row>
    <row r="17" spans="2:7" ht="15.75" customHeight="1" x14ac:dyDescent="0.15">
      <c r="B17" s="2">
        <f t="shared" si="0"/>
        <v>13</v>
      </c>
      <c r="C17" s="2">
        <v>471824</v>
      </c>
      <c r="D17" s="2">
        <v>280592</v>
      </c>
      <c r="E17" s="2">
        <v>172908</v>
      </c>
      <c r="F17" s="2">
        <v>173547</v>
      </c>
      <c r="G17" s="2">
        <v>123942</v>
      </c>
    </row>
    <row r="18" spans="2:7" ht="15.75" customHeight="1" x14ac:dyDescent="0.15">
      <c r="B18" s="2">
        <f t="shared" si="0"/>
        <v>14</v>
      </c>
      <c r="C18" s="2">
        <v>509776</v>
      </c>
      <c r="D18" s="2">
        <v>242310</v>
      </c>
      <c r="E18" s="2">
        <v>166138</v>
      </c>
      <c r="F18" s="2">
        <v>165748</v>
      </c>
      <c r="G18" s="2">
        <v>120840</v>
      </c>
    </row>
    <row r="19" spans="2:7" ht="15.75" customHeight="1" x14ac:dyDescent="0.15">
      <c r="B19" s="2">
        <f t="shared" si="0"/>
        <v>15</v>
      </c>
      <c r="C19" s="2">
        <v>493531</v>
      </c>
      <c r="D19" s="2">
        <v>244727</v>
      </c>
      <c r="E19" s="2">
        <v>185464</v>
      </c>
      <c r="F19" s="2">
        <v>162887</v>
      </c>
      <c r="G19" s="2">
        <v>128358</v>
      </c>
    </row>
    <row r="20" spans="2:7" ht="15.75" customHeight="1" x14ac:dyDescent="0.15">
      <c r="B20" s="2">
        <f t="shared" si="0"/>
        <v>16</v>
      </c>
      <c r="C20" s="2">
        <v>475433</v>
      </c>
      <c r="D20" s="2">
        <v>251683</v>
      </c>
      <c r="E20" s="2">
        <v>191920</v>
      </c>
      <c r="F20" s="2">
        <v>168193</v>
      </c>
      <c r="G20" s="2">
        <v>132471</v>
      </c>
    </row>
    <row r="21" spans="2:7" ht="15.75" customHeight="1" x14ac:dyDescent="0.15">
      <c r="B21" s="2">
        <f t="shared" si="0"/>
        <v>17</v>
      </c>
      <c r="C21" s="2">
        <v>499632</v>
      </c>
      <c r="D21" s="2">
        <v>242445</v>
      </c>
      <c r="E21" s="2">
        <v>183533</v>
      </c>
      <c r="F21" s="2">
        <v>153685</v>
      </c>
      <c r="G21" s="2">
        <v>127094</v>
      </c>
    </row>
    <row r="22" spans="2:7" ht="15.75" customHeight="1" x14ac:dyDescent="0.15">
      <c r="B22" s="2">
        <f t="shared" si="0"/>
        <v>18</v>
      </c>
      <c r="C22" s="2">
        <v>496279</v>
      </c>
      <c r="D22" s="2">
        <v>255489</v>
      </c>
      <c r="E22" s="2">
        <v>195406</v>
      </c>
      <c r="F22" s="2">
        <v>148194</v>
      </c>
      <c r="G22" s="2">
        <v>131465</v>
      </c>
    </row>
    <row r="23" spans="2:7" ht="15.75" customHeight="1" x14ac:dyDescent="0.15">
      <c r="B23" s="2">
        <f t="shared" si="0"/>
        <v>19</v>
      </c>
      <c r="C23" s="2">
        <v>488382</v>
      </c>
      <c r="D23" s="2">
        <v>260255</v>
      </c>
      <c r="E23" s="2">
        <v>208530</v>
      </c>
      <c r="F23" s="2">
        <v>166843</v>
      </c>
      <c r="G23" s="2">
        <v>128318</v>
      </c>
    </row>
    <row r="24" spans="2:7" ht="15.75" customHeight="1" x14ac:dyDescent="0.15">
      <c r="B24" s="2">
        <f t="shared" si="0"/>
        <v>20</v>
      </c>
      <c r="C24" s="2">
        <v>486807</v>
      </c>
      <c r="D24" s="2">
        <v>239738</v>
      </c>
      <c r="E24" s="2">
        <v>185761</v>
      </c>
      <c r="F24" s="2">
        <v>163906</v>
      </c>
      <c r="G24" s="2">
        <v>125921</v>
      </c>
    </row>
    <row r="25" spans="2:7" ht="15.75" customHeight="1" x14ac:dyDescent="0.15">
      <c r="B25" s="2">
        <f t="shared" si="0"/>
        <v>21</v>
      </c>
      <c r="C25" s="2">
        <v>487563</v>
      </c>
      <c r="D25" s="2">
        <v>245425</v>
      </c>
      <c r="E25" s="2">
        <v>187653</v>
      </c>
      <c r="F25" s="2">
        <v>157070</v>
      </c>
      <c r="G25" s="2">
        <v>135868</v>
      </c>
    </row>
    <row r="26" spans="2:7" ht="15.75" customHeight="1" x14ac:dyDescent="0.15">
      <c r="B26" s="2">
        <f t="shared" si="0"/>
        <v>22</v>
      </c>
      <c r="C26" s="2">
        <v>478469</v>
      </c>
      <c r="D26" s="2">
        <v>255474</v>
      </c>
      <c r="E26" s="2">
        <v>199999</v>
      </c>
      <c r="F26" s="2">
        <v>163676</v>
      </c>
      <c r="G26" s="2">
        <v>126631</v>
      </c>
    </row>
    <row r="27" spans="2:7" ht="15.75" customHeight="1" x14ac:dyDescent="0.15">
      <c r="B27" s="2">
        <f t="shared" si="0"/>
        <v>23</v>
      </c>
      <c r="C27" s="2">
        <v>484195</v>
      </c>
      <c r="D27" s="2">
        <v>240267</v>
      </c>
      <c r="E27" s="2">
        <v>181680</v>
      </c>
      <c r="F27" s="2">
        <v>150855</v>
      </c>
      <c r="G27" s="2">
        <v>129206</v>
      </c>
    </row>
    <row r="28" spans="2:7" ht="15.75" customHeight="1" x14ac:dyDescent="0.15">
      <c r="B28" s="2">
        <f t="shared" si="0"/>
        <v>24</v>
      </c>
      <c r="C28" s="2">
        <v>475813</v>
      </c>
      <c r="D28" s="2">
        <v>250728</v>
      </c>
      <c r="E28" s="2">
        <v>197347</v>
      </c>
      <c r="F28" s="2">
        <v>155196</v>
      </c>
      <c r="G28" s="2">
        <v>131555</v>
      </c>
    </row>
    <row r="29" spans="2:7" ht="15.75" customHeight="1" x14ac:dyDescent="0.15">
      <c r="B29" s="2">
        <f t="shared" si="0"/>
        <v>25</v>
      </c>
      <c r="C29" s="2">
        <v>514763</v>
      </c>
      <c r="D29" s="2">
        <v>254011</v>
      </c>
      <c r="E29" s="2">
        <v>199754</v>
      </c>
      <c r="F29" s="2">
        <v>154787</v>
      </c>
      <c r="G29" s="2">
        <v>127560</v>
      </c>
    </row>
    <row r="30" spans="2:7" ht="15.75" customHeight="1" x14ac:dyDescent="0.15">
      <c r="B30" s="2">
        <f t="shared" si="0"/>
        <v>26</v>
      </c>
      <c r="C30" s="2">
        <v>483462</v>
      </c>
      <c r="D30" s="2">
        <v>245518</v>
      </c>
      <c r="E30" s="2">
        <v>214583</v>
      </c>
      <c r="F30" s="2">
        <v>159607</v>
      </c>
      <c r="G30" s="2">
        <v>127911</v>
      </c>
    </row>
    <row r="31" spans="2:7" ht="15.75" customHeight="1" x14ac:dyDescent="0.15">
      <c r="B31" s="2">
        <f t="shared" si="0"/>
        <v>27</v>
      </c>
      <c r="C31" s="2">
        <v>476800</v>
      </c>
      <c r="D31" s="2">
        <v>252131</v>
      </c>
      <c r="E31" s="2">
        <v>210057</v>
      </c>
      <c r="F31" s="2">
        <v>152862</v>
      </c>
      <c r="G31" s="2">
        <v>135884</v>
      </c>
    </row>
    <row r="32" spans="2:7" ht="15.75" customHeight="1" x14ac:dyDescent="0.15">
      <c r="B32" s="2">
        <f t="shared" si="0"/>
        <v>28</v>
      </c>
      <c r="C32" s="2">
        <v>388277</v>
      </c>
      <c r="D32" s="2">
        <v>247439</v>
      </c>
      <c r="E32" s="2">
        <v>187383</v>
      </c>
      <c r="F32" s="2">
        <v>155369</v>
      </c>
      <c r="G32" s="2">
        <v>128956</v>
      </c>
    </row>
    <row r="33" spans="2:7" ht="15.75" customHeight="1" x14ac:dyDescent="0.15">
      <c r="B33" s="2">
        <f t="shared" si="0"/>
        <v>29</v>
      </c>
      <c r="C33" s="2">
        <v>367450</v>
      </c>
      <c r="D33" s="2">
        <v>246552</v>
      </c>
      <c r="E33" s="2">
        <v>203588</v>
      </c>
      <c r="F33" s="2">
        <v>159040</v>
      </c>
      <c r="G33" s="2">
        <v>127808</v>
      </c>
    </row>
    <row r="34" spans="2:7" ht="15.75" customHeight="1" x14ac:dyDescent="0.15">
      <c r="B34" s="2">
        <f t="shared" si="0"/>
        <v>30</v>
      </c>
      <c r="C34" s="2">
        <v>373170</v>
      </c>
      <c r="D34" s="2">
        <v>238731</v>
      </c>
      <c r="E34" s="2">
        <v>210918</v>
      </c>
      <c r="F34" s="2">
        <v>153819</v>
      </c>
      <c r="G34" s="2">
        <v>128008</v>
      </c>
    </row>
    <row r="35" spans="2:7" ht="15.75" customHeight="1" x14ac:dyDescent="0.15">
      <c r="B35" s="1" t="s">
        <v>5</v>
      </c>
      <c r="C35" s="2">
        <f t="shared" ref="C35:G35" si="1">AVERAGE(C5:C34)</f>
        <v>479538.36666666664</v>
      </c>
      <c r="D35" s="2">
        <f t="shared" si="1"/>
        <v>248602.1</v>
      </c>
      <c r="E35" s="2">
        <f t="shared" si="1"/>
        <v>192638.43333333332</v>
      </c>
      <c r="F35" s="2">
        <f t="shared" si="1"/>
        <v>162914.86666666667</v>
      </c>
      <c r="G35" s="2">
        <f t="shared" si="1"/>
        <v>138511.5</v>
      </c>
    </row>
    <row r="36" spans="2:7" ht="15.75" customHeight="1" x14ac:dyDescent="0.15">
      <c r="B36" s="1" t="s">
        <v>6</v>
      </c>
      <c r="C36" s="2">
        <f t="shared" ref="C36:F36" si="2">STDEV(C5:C34)</f>
        <v>39640.02747875046</v>
      </c>
      <c r="D36" s="2">
        <f t="shared" si="2"/>
        <v>9958.313893945342</v>
      </c>
      <c r="E36" s="2">
        <f t="shared" si="2"/>
        <v>14829.353406703865</v>
      </c>
      <c r="F36" s="2">
        <f t="shared" si="2"/>
        <v>8489.5851843478686</v>
      </c>
      <c r="G36" s="2">
        <f>_xlfn.STDEV.S(G5,G34)</f>
        <v>17851.617797835577</v>
      </c>
    </row>
    <row r="39" spans="2:7" ht="15.75" customHeight="1" x14ac:dyDescent="0.15">
      <c r="C39" s="1" t="s">
        <v>7</v>
      </c>
      <c r="D39" s="1" t="s">
        <v>8</v>
      </c>
      <c r="E39" s="1" t="s">
        <v>9</v>
      </c>
    </row>
    <row r="40" spans="2:7" ht="15.75" customHeight="1" x14ac:dyDescent="0.15">
      <c r="C40" s="2">
        <f>STDEV(C5:C34)</f>
        <v>39640.02747875046</v>
      </c>
      <c r="D40" s="2">
        <f>AVERAGE(C5:C34)</f>
        <v>479538.36666666664</v>
      </c>
      <c r="E40" s="2">
        <v>1</v>
      </c>
    </row>
    <row r="41" spans="2:7" ht="15.75" customHeight="1" x14ac:dyDescent="0.15">
      <c r="C41" s="2">
        <f>STDEV(D5:D34)</f>
        <v>9958.313893945342</v>
      </c>
      <c r="D41" s="2">
        <f>AVERAGE(D5:D34)</f>
        <v>248602.1</v>
      </c>
      <c r="E41" s="2">
        <v>2</v>
      </c>
    </row>
    <row r="42" spans="2:7" ht="15.75" customHeight="1" x14ac:dyDescent="0.15">
      <c r="C42" s="2">
        <f>STDEV(E5:E34)</f>
        <v>14829.353406703865</v>
      </c>
      <c r="D42" s="2">
        <f>AVERAGE(E5:E34)</f>
        <v>192638.43333333332</v>
      </c>
      <c r="E42" s="2">
        <v>4</v>
      </c>
    </row>
    <row r="43" spans="2:7" ht="15.75" customHeight="1" x14ac:dyDescent="0.15">
      <c r="C43" s="2">
        <f>STDEV(F5:F34)</f>
        <v>8489.5851843478686</v>
      </c>
      <c r="D43" s="2">
        <f>AVERAGE(F5:F34)</f>
        <v>162914.86666666667</v>
      </c>
      <c r="E43" s="2">
        <v>8</v>
      </c>
    </row>
    <row r="44" spans="2:7" ht="15.75" customHeight="1" x14ac:dyDescent="0.15">
      <c r="C44" s="2">
        <f>_xlfn.STDEV.S(G5,G34)</f>
        <v>17851.617797835577</v>
      </c>
      <c r="D44" s="2">
        <f>AVERAGE(G5:G34)</f>
        <v>138511.5</v>
      </c>
      <c r="E44" s="2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3:H45"/>
  <sheetViews>
    <sheetView topLeftCell="A12" workbookViewId="0"/>
  </sheetViews>
  <sheetFormatPr baseColWidth="10" defaultColWidth="12.6640625" defaultRowHeight="15.75" customHeight="1" x14ac:dyDescent="0.15"/>
  <cols>
    <col min="4" max="4" width="24.1640625" customWidth="1"/>
    <col min="5" max="5" width="25.1640625" customWidth="1"/>
    <col min="6" max="6" width="25" customWidth="1"/>
    <col min="7" max="7" width="24.1640625" customWidth="1"/>
    <col min="8" max="8" width="23" customWidth="1"/>
  </cols>
  <sheetData>
    <row r="3" spans="3:8" ht="15.75" customHeight="1" x14ac:dyDescent="0.15">
      <c r="C3" s="1"/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3:8" ht="15.75" customHeight="1" x14ac:dyDescent="0.15">
      <c r="C4" s="2">
        <v>1</v>
      </c>
      <c r="D4" s="2">
        <v>1340312</v>
      </c>
      <c r="E4" s="2">
        <v>667316</v>
      </c>
      <c r="F4" s="2">
        <v>369811</v>
      </c>
      <c r="G4" s="2">
        <v>324388</v>
      </c>
      <c r="H4" s="2">
        <v>353715</v>
      </c>
    </row>
    <row r="5" spans="3:8" ht="15.75" customHeight="1" x14ac:dyDescent="0.15">
      <c r="C5" s="2">
        <f t="shared" ref="C5:C33" si="0">C4+1</f>
        <v>2</v>
      </c>
      <c r="D5" s="2">
        <v>1354335</v>
      </c>
      <c r="E5" s="2">
        <v>652800</v>
      </c>
      <c r="F5" s="2">
        <v>366065</v>
      </c>
      <c r="G5" s="2">
        <v>324232</v>
      </c>
      <c r="H5" s="2">
        <v>342259</v>
      </c>
    </row>
    <row r="6" spans="3:8" ht="15.75" customHeight="1" x14ac:dyDescent="0.15">
      <c r="C6" s="2">
        <f t="shared" si="0"/>
        <v>3</v>
      </c>
      <c r="D6" s="2">
        <v>1452402</v>
      </c>
      <c r="E6" s="2">
        <v>679133</v>
      </c>
      <c r="F6" s="2">
        <v>333674</v>
      </c>
      <c r="G6" s="2">
        <v>357674</v>
      </c>
      <c r="H6" s="2">
        <v>336763</v>
      </c>
    </row>
    <row r="7" spans="3:8" ht="15.75" customHeight="1" x14ac:dyDescent="0.15">
      <c r="C7" s="2">
        <f t="shared" si="0"/>
        <v>4</v>
      </c>
      <c r="D7" s="2">
        <v>1501005</v>
      </c>
      <c r="E7" s="2">
        <v>688084</v>
      </c>
      <c r="F7" s="2">
        <v>340859</v>
      </c>
      <c r="G7" s="2">
        <v>356117</v>
      </c>
      <c r="H7" s="2">
        <v>347500</v>
      </c>
    </row>
    <row r="8" spans="3:8" ht="15.75" customHeight="1" x14ac:dyDescent="0.15">
      <c r="C8" s="2">
        <f t="shared" si="0"/>
        <v>5</v>
      </c>
      <c r="D8" s="2">
        <v>1366810</v>
      </c>
      <c r="E8" s="2">
        <v>684203</v>
      </c>
      <c r="F8" s="2">
        <v>352158</v>
      </c>
      <c r="G8" s="2">
        <v>339510</v>
      </c>
      <c r="H8" s="2">
        <v>344017</v>
      </c>
    </row>
    <row r="9" spans="3:8" ht="15.75" customHeight="1" x14ac:dyDescent="0.15">
      <c r="C9" s="2">
        <f t="shared" si="0"/>
        <v>6</v>
      </c>
      <c r="D9" s="2">
        <v>1408652</v>
      </c>
      <c r="E9" s="2">
        <v>716175</v>
      </c>
      <c r="F9" s="2">
        <v>354504</v>
      </c>
      <c r="G9" s="2">
        <v>354609</v>
      </c>
      <c r="H9" s="2">
        <v>345242</v>
      </c>
    </row>
    <row r="10" spans="3:8" ht="15.75" customHeight="1" x14ac:dyDescent="0.15">
      <c r="C10" s="2">
        <f t="shared" si="0"/>
        <v>7</v>
      </c>
      <c r="D10" s="2">
        <v>1410593</v>
      </c>
      <c r="E10" s="2">
        <v>796245</v>
      </c>
      <c r="F10" s="2">
        <v>335934</v>
      </c>
      <c r="G10" s="2">
        <v>344193</v>
      </c>
      <c r="H10" s="2">
        <v>347036</v>
      </c>
    </row>
    <row r="11" spans="3:8" ht="15.75" customHeight="1" x14ac:dyDescent="0.15">
      <c r="C11" s="2">
        <f t="shared" si="0"/>
        <v>8</v>
      </c>
      <c r="D11" s="2">
        <v>1335285</v>
      </c>
      <c r="E11" s="2">
        <v>668352</v>
      </c>
      <c r="F11" s="2">
        <v>336105</v>
      </c>
      <c r="G11" s="2">
        <v>358655</v>
      </c>
      <c r="H11" s="2">
        <v>341854</v>
      </c>
    </row>
    <row r="12" spans="3:8" ht="15.75" customHeight="1" x14ac:dyDescent="0.15">
      <c r="C12" s="2">
        <f t="shared" si="0"/>
        <v>9</v>
      </c>
      <c r="D12" s="2">
        <v>1443274</v>
      </c>
      <c r="E12" s="2">
        <v>680647</v>
      </c>
      <c r="F12" s="2">
        <v>338772</v>
      </c>
      <c r="G12" s="2">
        <v>343197</v>
      </c>
      <c r="H12" s="2">
        <v>335177</v>
      </c>
    </row>
    <row r="13" spans="3:8" ht="15.75" customHeight="1" x14ac:dyDescent="0.15">
      <c r="C13" s="2">
        <f t="shared" si="0"/>
        <v>10</v>
      </c>
      <c r="D13" s="2">
        <v>1352950</v>
      </c>
      <c r="E13" s="2">
        <v>679540</v>
      </c>
      <c r="F13" s="2">
        <v>343496</v>
      </c>
      <c r="G13" s="2">
        <v>346199</v>
      </c>
      <c r="H13" s="2">
        <v>341167</v>
      </c>
    </row>
    <row r="14" spans="3:8" ht="15.75" customHeight="1" x14ac:dyDescent="0.15">
      <c r="C14" s="2">
        <f t="shared" si="0"/>
        <v>11</v>
      </c>
      <c r="D14" s="2">
        <v>1095996</v>
      </c>
      <c r="E14" s="2">
        <v>658800</v>
      </c>
      <c r="F14" s="2">
        <v>335436</v>
      </c>
      <c r="G14" s="2">
        <v>341292</v>
      </c>
      <c r="H14" s="2">
        <v>347826</v>
      </c>
    </row>
    <row r="15" spans="3:8" ht="15.75" customHeight="1" x14ac:dyDescent="0.15">
      <c r="C15" s="2">
        <f t="shared" si="0"/>
        <v>12</v>
      </c>
      <c r="D15" s="2">
        <v>1351648</v>
      </c>
      <c r="E15" s="2">
        <v>683120</v>
      </c>
      <c r="F15" s="2">
        <v>337307</v>
      </c>
      <c r="G15" s="2">
        <v>321105</v>
      </c>
      <c r="H15" s="2">
        <v>346158</v>
      </c>
    </row>
    <row r="16" spans="3:8" ht="15.75" customHeight="1" x14ac:dyDescent="0.15">
      <c r="C16" s="2">
        <f t="shared" si="0"/>
        <v>13</v>
      </c>
      <c r="D16" s="2">
        <v>1323395</v>
      </c>
      <c r="E16" s="2">
        <v>679230</v>
      </c>
      <c r="F16" s="2">
        <v>353298</v>
      </c>
      <c r="G16" s="2">
        <v>340486</v>
      </c>
      <c r="H16" s="2">
        <v>344068</v>
      </c>
    </row>
    <row r="17" spans="3:8" ht="15.75" customHeight="1" x14ac:dyDescent="0.15">
      <c r="C17" s="2">
        <f t="shared" si="0"/>
        <v>14</v>
      </c>
      <c r="D17" s="2">
        <v>1326689</v>
      </c>
      <c r="E17" s="2">
        <v>690135</v>
      </c>
      <c r="F17" s="2">
        <v>349106</v>
      </c>
      <c r="G17" s="2">
        <v>355610</v>
      </c>
      <c r="H17" s="2">
        <v>360761</v>
      </c>
    </row>
    <row r="18" spans="3:8" ht="15.75" customHeight="1" x14ac:dyDescent="0.15">
      <c r="C18" s="2">
        <f t="shared" si="0"/>
        <v>15</v>
      </c>
      <c r="D18" s="2">
        <v>1044723</v>
      </c>
      <c r="E18" s="2">
        <v>668015</v>
      </c>
      <c r="F18" s="2">
        <v>336605</v>
      </c>
      <c r="G18" s="2">
        <v>353627</v>
      </c>
      <c r="H18" s="2">
        <v>345461</v>
      </c>
    </row>
    <row r="19" spans="3:8" ht="15.75" customHeight="1" x14ac:dyDescent="0.15">
      <c r="C19" s="2">
        <f t="shared" si="0"/>
        <v>16</v>
      </c>
      <c r="D19" s="2">
        <v>1311226</v>
      </c>
      <c r="E19" s="2">
        <v>707723</v>
      </c>
      <c r="F19" s="2">
        <v>338549</v>
      </c>
      <c r="G19" s="2">
        <v>352513</v>
      </c>
      <c r="H19" s="2">
        <v>330723</v>
      </c>
    </row>
    <row r="20" spans="3:8" ht="15.75" customHeight="1" x14ac:dyDescent="0.15">
      <c r="C20" s="2">
        <f t="shared" si="0"/>
        <v>17</v>
      </c>
      <c r="D20" s="2">
        <v>1439768</v>
      </c>
      <c r="E20" s="2">
        <v>665584</v>
      </c>
      <c r="F20" s="2">
        <v>338315</v>
      </c>
      <c r="G20" s="2">
        <v>349592</v>
      </c>
      <c r="H20" s="2">
        <v>345543</v>
      </c>
    </row>
    <row r="21" spans="3:8" ht="15.75" customHeight="1" x14ac:dyDescent="0.15">
      <c r="C21" s="2">
        <f t="shared" si="0"/>
        <v>18</v>
      </c>
      <c r="D21" s="2">
        <v>1426331</v>
      </c>
      <c r="E21" s="2">
        <v>660512</v>
      </c>
      <c r="F21" s="2">
        <v>337498</v>
      </c>
      <c r="G21" s="2">
        <v>344153</v>
      </c>
      <c r="H21" s="2">
        <v>323730</v>
      </c>
    </row>
    <row r="22" spans="3:8" ht="15.75" customHeight="1" x14ac:dyDescent="0.15">
      <c r="C22" s="2">
        <f t="shared" si="0"/>
        <v>19</v>
      </c>
      <c r="D22" s="2">
        <v>1346059</v>
      </c>
      <c r="E22" s="2">
        <v>706597</v>
      </c>
      <c r="F22" s="2">
        <v>338983</v>
      </c>
      <c r="G22" s="2">
        <v>343978</v>
      </c>
      <c r="H22" s="2">
        <v>340766</v>
      </c>
    </row>
    <row r="23" spans="3:8" ht="15.75" customHeight="1" x14ac:dyDescent="0.15">
      <c r="C23" s="2">
        <f t="shared" si="0"/>
        <v>20</v>
      </c>
      <c r="D23" s="2">
        <v>1380532</v>
      </c>
      <c r="E23" s="2">
        <v>676699</v>
      </c>
      <c r="F23" s="2">
        <v>342233</v>
      </c>
      <c r="G23" s="2">
        <v>350204</v>
      </c>
      <c r="H23" s="2">
        <v>344784</v>
      </c>
    </row>
    <row r="24" spans="3:8" ht="15.75" customHeight="1" x14ac:dyDescent="0.15">
      <c r="C24" s="2">
        <f t="shared" si="0"/>
        <v>21</v>
      </c>
      <c r="D24" s="2">
        <v>1391039</v>
      </c>
      <c r="E24" s="2">
        <v>677719</v>
      </c>
      <c r="F24" s="2">
        <v>352990</v>
      </c>
      <c r="G24" s="2">
        <v>346311</v>
      </c>
      <c r="H24" s="2">
        <v>329954</v>
      </c>
    </row>
    <row r="25" spans="3:8" ht="15.75" customHeight="1" x14ac:dyDescent="0.15">
      <c r="C25" s="2">
        <f t="shared" si="0"/>
        <v>22</v>
      </c>
      <c r="D25" s="2">
        <v>1329094</v>
      </c>
      <c r="E25" s="2">
        <v>665385</v>
      </c>
      <c r="F25" s="2">
        <v>373082</v>
      </c>
      <c r="G25" s="2">
        <v>456257</v>
      </c>
      <c r="H25" s="2">
        <v>340029</v>
      </c>
    </row>
    <row r="26" spans="3:8" ht="15.75" customHeight="1" x14ac:dyDescent="0.15">
      <c r="C26" s="2">
        <f t="shared" si="0"/>
        <v>23</v>
      </c>
      <c r="D26" s="2">
        <v>1345092</v>
      </c>
      <c r="E26" s="2">
        <v>679917</v>
      </c>
      <c r="F26" s="2">
        <v>364526</v>
      </c>
      <c r="G26" s="2">
        <v>458168</v>
      </c>
      <c r="H26" s="2">
        <v>347544</v>
      </c>
    </row>
    <row r="27" spans="3:8" ht="15.75" customHeight="1" x14ac:dyDescent="0.15">
      <c r="C27" s="2">
        <f t="shared" si="0"/>
        <v>24</v>
      </c>
      <c r="D27" s="2">
        <v>1352076</v>
      </c>
      <c r="E27" s="2">
        <v>712466</v>
      </c>
      <c r="F27" s="2">
        <v>336251</v>
      </c>
      <c r="G27" s="2">
        <v>456338</v>
      </c>
      <c r="H27" s="2">
        <v>336372</v>
      </c>
    </row>
    <row r="28" spans="3:8" ht="15.75" customHeight="1" x14ac:dyDescent="0.15">
      <c r="C28" s="2">
        <f t="shared" si="0"/>
        <v>25</v>
      </c>
      <c r="D28" s="2">
        <v>1355076</v>
      </c>
      <c r="E28" s="2">
        <v>665646</v>
      </c>
      <c r="F28" s="2">
        <v>338202</v>
      </c>
      <c r="G28" s="2">
        <v>451239</v>
      </c>
      <c r="H28" s="2">
        <v>339658</v>
      </c>
    </row>
    <row r="29" spans="3:8" ht="15.75" customHeight="1" x14ac:dyDescent="0.15">
      <c r="C29" s="2">
        <f t="shared" si="0"/>
        <v>26</v>
      </c>
      <c r="D29" s="2">
        <v>1350620</v>
      </c>
      <c r="E29" s="2">
        <v>679567</v>
      </c>
      <c r="F29" s="2">
        <v>338292</v>
      </c>
      <c r="G29" s="2">
        <v>451315</v>
      </c>
      <c r="H29" s="2">
        <v>338475</v>
      </c>
    </row>
    <row r="30" spans="3:8" ht="15.75" customHeight="1" x14ac:dyDescent="0.15">
      <c r="C30" s="2">
        <f t="shared" si="0"/>
        <v>27</v>
      </c>
      <c r="D30" s="2">
        <v>1107595</v>
      </c>
      <c r="E30" s="2">
        <v>744019</v>
      </c>
      <c r="F30" s="2">
        <v>341942</v>
      </c>
      <c r="G30" s="2">
        <v>417966</v>
      </c>
      <c r="H30" s="2">
        <v>342636</v>
      </c>
    </row>
    <row r="31" spans="3:8" ht="15.75" customHeight="1" x14ac:dyDescent="0.15">
      <c r="C31" s="2">
        <f t="shared" si="0"/>
        <v>28</v>
      </c>
      <c r="D31" s="2">
        <v>1367121</v>
      </c>
      <c r="E31" s="2">
        <v>666767</v>
      </c>
      <c r="F31" s="2">
        <v>346405</v>
      </c>
      <c r="G31" s="2">
        <v>445697</v>
      </c>
      <c r="H31" s="2">
        <v>354599</v>
      </c>
    </row>
    <row r="32" spans="3:8" ht="15.75" customHeight="1" x14ac:dyDescent="0.15">
      <c r="C32" s="2">
        <f t="shared" si="0"/>
        <v>29</v>
      </c>
      <c r="D32" s="2">
        <v>1357534</v>
      </c>
      <c r="E32" s="2">
        <v>684517</v>
      </c>
      <c r="F32" s="2">
        <v>342838</v>
      </c>
      <c r="G32" s="2">
        <v>428280</v>
      </c>
      <c r="H32" s="2">
        <v>340632</v>
      </c>
    </row>
    <row r="33" spans="3:8" ht="15.75" customHeight="1" x14ac:dyDescent="0.15">
      <c r="C33" s="2">
        <f t="shared" si="0"/>
        <v>30</v>
      </c>
      <c r="D33" s="2">
        <v>1415413</v>
      </c>
      <c r="E33" s="2">
        <v>721763</v>
      </c>
      <c r="F33" s="2">
        <v>341954</v>
      </c>
      <c r="G33" s="2">
        <v>382940</v>
      </c>
      <c r="H33" s="2">
        <v>349961</v>
      </c>
    </row>
    <row r="34" spans="3:8" ht="15.75" customHeight="1" x14ac:dyDescent="0.15">
      <c r="C34" s="1" t="s">
        <v>15</v>
      </c>
      <c r="D34" s="2">
        <f t="shared" ref="D34:H34" si="1">AVERAGE(D4:D33)</f>
        <v>1346088.1666666667</v>
      </c>
      <c r="E34" s="2">
        <f t="shared" si="1"/>
        <v>686889.2</v>
      </c>
      <c r="F34" s="2">
        <f t="shared" si="1"/>
        <v>345173</v>
      </c>
      <c r="G34" s="2">
        <f t="shared" si="1"/>
        <v>373194.83333333331</v>
      </c>
      <c r="H34" s="2">
        <f t="shared" si="1"/>
        <v>342813.66666666669</v>
      </c>
    </row>
    <row r="35" spans="3:8" ht="15.75" customHeight="1" x14ac:dyDescent="0.15">
      <c r="C35" s="1" t="s">
        <v>16</v>
      </c>
      <c r="D35" s="2">
        <f t="shared" ref="D35:H35" si="2">STDEV(D4:D33)</f>
        <v>100022.12051482218</v>
      </c>
      <c r="E35" s="2">
        <f t="shared" si="2"/>
        <v>29252.914447670999</v>
      </c>
      <c r="F35" s="2">
        <f t="shared" si="2"/>
        <v>10935.233359224194</v>
      </c>
      <c r="G35" s="2">
        <f t="shared" si="2"/>
        <v>46429.842737472536</v>
      </c>
      <c r="H35" s="2">
        <f t="shared" si="2"/>
        <v>7470.1314641680847</v>
      </c>
    </row>
    <row r="40" spans="3:8" ht="15.75" customHeight="1" x14ac:dyDescent="0.15">
      <c r="D40" s="1" t="s">
        <v>7</v>
      </c>
      <c r="E40" s="1" t="s">
        <v>8</v>
      </c>
      <c r="F40" s="1" t="s">
        <v>9</v>
      </c>
    </row>
    <row r="41" spans="3:8" ht="15.75" customHeight="1" x14ac:dyDescent="0.15">
      <c r="D41" s="2">
        <f>STDEV(D4:D33)</f>
        <v>100022.12051482218</v>
      </c>
      <c r="E41" s="2">
        <f>AVERAGE(D4:D33)</f>
        <v>1346088.1666666667</v>
      </c>
      <c r="F41" s="2">
        <v>1</v>
      </c>
    </row>
    <row r="42" spans="3:8" ht="15.75" customHeight="1" x14ac:dyDescent="0.15">
      <c r="D42" s="2">
        <f>STDEV(E4:E33)</f>
        <v>29252.914447670999</v>
      </c>
      <c r="E42" s="2">
        <f>AVERAGE(E4:E33)</f>
        <v>686889.2</v>
      </c>
      <c r="F42" s="2">
        <v>2</v>
      </c>
    </row>
    <row r="43" spans="3:8" ht="15.75" customHeight="1" x14ac:dyDescent="0.15">
      <c r="D43" s="2">
        <f>STDEV(F4:F33)</f>
        <v>10935.233359224194</v>
      </c>
      <c r="E43" s="2">
        <f>AVERAGE(F4:F33)</f>
        <v>345173</v>
      </c>
      <c r="F43" s="2">
        <v>4</v>
      </c>
    </row>
    <row r="44" spans="3:8" ht="15.75" customHeight="1" x14ac:dyDescent="0.15">
      <c r="D44" s="2">
        <f>STDEV(G4:G33)</f>
        <v>46429.842737472536</v>
      </c>
      <c r="E44" s="2">
        <f>AVERAGE(G4:G33)</f>
        <v>373194.83333333331</v>
      </c>
      <c r="F44" s="2">
        <v>8</v>
      </c>
    </row>
    <row r="45" spans="3:8" ht="15.75" customHeight="1" x14ac:dyDescent="0.15">
      <c r="D45" s="2">
        <f>STDEV(H4:H33)</f>
        <v>7470.1314641680847</v>
      </c>
      <c r="E45" s="2">
        <f>AVERAGE(H4:H33)</f>
        <v>342813.66666666669</v>
      </c>
      <c r="F45" s="2"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D5:I46"/>
  <sheetViews>
    <sheetView workbookViewId="0"/>
  </sheetViews>
  <sheetFormatPr baseColWidth="10" defaultColWidth="12.6640625" defaultRowHeight="15.75" customHeight="1" x14ac:dyDescent="0.15"/>
  <cols>
    <col min="5" max="5" width="22.33203125" customWidth="1"/>
    <col min="6" max="6" width="34.83203125" customWidth="1"/>
    <col min="7" max="7" width="24.1640625" customWidth="1"/>
    <col min="8" max="8" width="33.6640625" customWidth="1"/>
    <col min="9" max="9" width="24.5" customWidth="1"/>
  </cols>
  <sheetData>
    <row r="5" spans="4:9" ht="15.75" customHeight="1" x14ac:dyDescent="0.15">
      <c r="D5" s="1"/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</row>
    <row r="6" spans="4:9" ht="15.75" customHeight="1" x14ac:dyDescent="0.15">
      <c r="D6" s="2">
        <v>1</v>
      </c>
      <c r="E6" s="2">
        <v>3111139</v>
      </c>
      <c r="F6" s="2">
        <v>1586294</v>
      </c>
      <c r="G6" s="2">
        <v>780959</v>
      </c>
      <c r="H6" s="2">
        <v>719307</v>
      </c>
      <c r="I6" s="2">
        <v>711195</v>
      </c>
    </row>
    <row r="7" spans="4:9" ht="15.75" customHeight="1" x14ac:dyDescent="0.15">
      <c r="D7" s="2">
        <f t="shared" ref="D7:D35" si="0">D6+1</f>
        <v>2</v>
      </c>
      <c r="E7" s="2">
        <v>3344512</v>
      </c>
      <c r="F7" s="2">
        <v>1548072</v>
      </c>
      <c r="G7" s="2">
        <v>739171</v>
      </c>
      <c r="H7" s="2">
        <v>704678</v>
      </c>
      <c r="I7" s="2">
        <v>742208</v>
      </c>
    </row>
    <row r="8" spans="4:9" ht="15.75" customHeight="1" x14ac:dyDescent="0.15">
      <c r="D8" s="2">
        <f t="shared" si="0"/>
        <v>3</v>
      </c>
      <c r="E8" s="2">
        <v>3365466</v>
      </c>
      <c r="F8" s="2">
        <v>1536308</v>
      </c>
      <c r="G8" s="2">
        <v>731683</v>
      </c>
      <c r="H8" s="2">
        <v>712279</v>
      </c>
      <c r="I8" s="2">
        <v>714436</v>
      </c>
    </row>
    <row r="9" spans="4:9" ht="15.75" customHeight="1" x14ac:dyDescent="0.15">
      <c r="D9" s="2">
        <f t="shared" si="0"/>
        <v>4</v>
      </c>
      <c r="E9" s="2">
        <v>2717641</v>
      </c>
      <c r="F9" s="2">
        <v>1522015</v>
      </c>
      <c r="G9" s="2">
        <v>745727</v>
      </c>
      <c r="H9" s="2">
        <v>705849</v>
      </c>
      <c r="I9" s="2">
        <v>743417</v>
      </c>
    </row>
    <row r="10" spans="4:9" ht="15.75" customHeight="1" x14ac:dyDescent="0.15">
      <c r="D10" s="2">
        <f t="shared" si="0"/>
        <v>5</v>
      </c>
      <c r="E10" s="2">
        <v>3111110</v>
      </c>
      <c r="F10" s="2">
        <v>1665080</v>
      </c>
      <c r="G10" s="2">
        <v>741416</v>
      </c>
      <c r="H10" s="2">
        <v>766822</v>
      </c>
      <c r="I10" s="2">
        <v>770756</v>
      </c>
    </row>
    <row r="11" spans="4:9" ht="15.75" customHeight="1" x14ac:dyDescent="0.15">
      <c r="D11" s="2">
        <f t="shared" si="0"/>
        <v>6</v>
      </c>
      <c r="E11" s="2">
        <v>3218502</v>
      </c>
      <c r="F11" s="2">
        <v>1531247</v>
      </c>
      <c r="G11" s="2">
        <v>737714</v>
      </c>
      <c r="H11" s="2">
        <v>751593</v>
      </c>
      <c r="I11" s="2">
        <v>752773</v>
      </c>
    </row>
    <row r="12" spans="4:9" ht="15.75" customHeight="1" x14ac:dyDescent="0.15">
      <c r="D12" s="2">
        <f t="shared" si="0"/>
        <v>7</v>
      </c>
      <c r="E12" s="2">
        <v>3116001</v>
      </c>
      <c r="F12" s="2">
        <v>1625371</v>
      </c>
      <c r="G12" s="2">
        <v>755947</v>
      </c>
      <c r="H12" s="2">
        <v>749138</v>
      </c>
      <c r="I12" s="2">
        <v>700592</v>
      </c>
    </row>
    <row r="13" spans="4:9" ht="15.75" customHeight="1" x14ac:dyDescent="0.15">
      <c r="D13" s="2">
        <f t="shared" si="0"/>
        <v>8</v>
      </c>
      <c r="E13" s="2">
        <v>3268998</v>
      </c>
      <c r="F13" s="2">
        <v>1643814</v>
      </c>
      <c r="G13" s="2">
        <v>739205</v>
      </c>
      <c r="H13" s="2">
        <v>742395</v>
      </c>
      <c r="I13" s="2">
        <v>725412</v>
      </c>
    </row>
    <row r="14" spans="4:9" ht="15.75" customHeight="1" x14ac:dyDescent="0.15">
      <c r="D14" s="2">
        <f t="shared" si="0"/>
        <v>9</v>
      </c>
      <c r="E14" s="2">
        <v>3294203</v>
      </c>
      <c r="F14" s="2">
        <v>1545502</v>
      </c>
      <c r="G14" s="2">
        <v>749107</v>
      </c>
      <c r="H14" s="2">
        <v>750734</v>
      </c>
      <c r="I14" s="2">
        <v>769730</v>
      </c>
    </row>
    <row r="15" spans="4:9" ht="15.75" customHeight="1" x14ac:dyDescent="0.15">
      <c r="D15" s="2">
        <f t="shared" si="0"/>
        <v>10</v>
      </c>
      <c r="E15" s="2">
        <v>3354694</v>
      </c>
      <c r="F15" s="2">
        <v>1673409</v>
      </c>
      <c r="G15" s="2">
        <v>741804</v>
      </c>
      <c r="H15" s="2">
        <v>738170</v>
      </c>
      <c r="I15" s="2">
        <v>758446</v>
      </c>
    </row>
    <row r="16" spans="4:9" ht="15.75" customHeight="1" x14ac:dyDescent="0.15">
      <c r="D16" s="2">
        <f t="shared" si="0"/>
        <v>11</v>
      </c>
      <c r="E16" s="2">
        <v>3136855</v>
      </c>
      <c r="F16" s="2">
        <v>1618278</v>
      </c>
      <c r="G16" s="2">
        <v>771763</v>
      </c>
      <c r="H16" s="2">
        <v>764287</v>
      </c>
      <c r="I16" s="2">
        <v>746209</v>
      </c>
    </row>
    <row r="17" spans="4:9" ht="15.75" customHeight="1" x14ac:dyDescent="0.15">
      <c r="D17" s="2">
        <f t="shared" si="0"/>
        <v>12</v>
      </c>
      <c r="E17" s="2">
        <v>3192097</v>
      </c>
      <c r="F17" s="2">
        <v>1534948</v>
      </c>
      <c r="G17" s="2">
        <v>755397</v>
      </c>
      <c r="H17" s="2">
        <v>778563</v>
      </c>
      <c r="I17" s="2">
        <v>748750</v>
      </c>
    </row>
    <row r="18" spans="4:9" ht="15.75" customHeight="1" x14ac:dyDescent="0.15">
      <c r="D18" s="2">
        <f t="shared" si="0"/>
        <v>13</v>
      </c>
      <c r="E18" s="2">
        <v>3201848</v>
      </c>
      <c r="F18" s="2">
        <v>1552215</v>
      </c>
      <c r="G18" s="2">
        <v>747977</v>
      </c>
      <c r="H18" s="2">
        <v>770220</v>
      </c>
      <c r="I18" s="2">
        <v>740852</v>
      </c>
    </row>
    <row r="19" spans="4:9" ht="15.75" customHeight="1" x14ac:dyDescent="0.15">
      <c r="D19" s="2">
        <f t="shared" si="0"/>
        <v>14</v>
      </c>
      <c r="E19" s="2">
        <v>2916498</v>
      </c>
      <c r="F19" s="2">
        <v>1669406</v>
      </c>
      <c r="G19" s="2">
        <v>741957</v>
      </c>
      <c r="H19" s="2">
        <v>725354</v>
      </c>
      <c r="I19" s="2">
        <v>746320</v>
      </c>
    </row>
    <row r="20" spans="4:9" ht="15.75" customHeight="1" x14ac:dyDescent="0.15">
      <c r="D20" s="2">
        <f t="shared" si="0"/>
        <v>15</v>
      </c>
      <c r="E20" s="2">
        <v>3271850</v>
      </c>
      <c r="F20" s="2">
        <v>1574729</v>
      </c>
      <c r="G20" s="2">
        <v>732799</v>
      </c>
      <c r="H20" s="2">
        <v>761368</v>
      </c>
      <c r="I20" s="2">
        <v>740604</v>
      </c>
    </row>
    <row r="21" spans="4:9" ht="15.75" customHeight="1" x14ac:dyDescent="0.15">
      <c r="D21" s="2">
        <f t="shared" si="0"/>
        <v>16</v>
      </c>
      <c r="E21" s="2">
        <v>3126084</v>
      </c>
      <c r="F21" s="2">
        <v>1602260</v>
      </c>
      <c r="G21" s="2">
        <v>746974</v>
      </c>
      <c r="H21" s="2">
        <v>763071</v>
      </c>
      <c r="I21" s="2">
        <v>747820</v>
      </c>
    </row>
    <row r="22" spans="4:9" ht="15.75" customHeight="1" x14ac:dyDescent="0.15">
      <c r="D22" s="2">
        <f t="shared" si="0"/>
        <v>17</v>
      </c>
      <c r="E22" s="2">
        <v>3084279</v>
      </c>
      <c r="F22" s="2">
        <v>1604169</v>
      </c>
      <c r="G22" s="2">
        <v>749246</v>
      </c>
      <c r="H22" s="2">
        <v>716948</v>
      </c>
      <c r="I22" s="2">
        <v>745672</v>
      </c>
    </row>
    <row r="23" spans="4:9" ht="15.75" customHeight="1" x14ac:dyDescent="0.15">
      <c r="D23" s="2">
        <f t="shared" si="0"/>
        <v>18</v>
      </c>
      <c r="E23" s="2">
        <v>3093246</v>
      </c>
      <c r="F23" s="2">
        <v>1517104</v>
      </c>
      <c r="G23" s="2">
        <v>742597</v>
      </c>
      <c r="H23" s="2">
        <v>748326</v>
      </c>
      <c r="I23" s="2">
        <v>747897</v>
      </c>
    </row>
    <row r="24" spans="4:9" ht="15.75" customHeight="1" x14ac:dyDescent="0.15">
      <c r="D24" s="2">
        <f t="shared" si="0"/>
        <v>19</v>
      </c>
      <c r="E24" s="2">
        <v>3493598</v>
      </c>
      <c r="F24" s="2">
        <v>1532307</v>
      </c>
      <c r="G24" s="2">
        <v>730661</v>
      </c>
      <c r="H24" s="2">
        <v>751071</v>
      </c>
      <c r="I24" s="2">
        <v>766753</v>
      </c>
    </row>
    <row r="25" spans="4:9" ht="15.75" customHeight="1" x14ac:dyDescent="0.15">
      <c r="D25" s="2">
        <f t="shared" si="0"/>
        <v>20</v>
      </c>
      <c r="E25" s="2">
        <v>3256267</v>
      </c>
      <c r="F25" s="2">
        <v>1539451</v>
      </c>
      <c r="G25" s="2">
        <v>751617</v>
      </c>
      <c r="H25" s="2">
        <v>749295</v>
      </c>
      <c r="I25" s="2">
        <v>747535</v>
      </c>
    </row>
    <row r="26" spans="4:9" ht="15.75" customHeight="1" x14ac:dyDescent="0.15">
      <c r="D26" s="2">
        <f t="shared" si="0"/>
        <v>21</v>
      </c>
      <c r="E26" s="2">
        <v>3083399</v>
      </c>
      <c r="F26" s="2">
        <v>1552127</v>
      </c>
      <c r="G26" s="2">
        <v>725262</v>
      </c>
      <c r="H26" s="2">
        <v>746303</v>
      </c>
      <c r="I26" s="2">
        <v>750386</v>
      </c>
    </row>
    <row r="27" spans="4:9" ht="15.75" customHeight="1" x14ac:dyDescent="0.15">
      <c r="D27" s="2">
        <f t="shared" si="0"/>
        <v>22</v>
      </c>
      <c r="E27" s="2">
        <v>3398770</v>
      </c>
      <c r="F27" s="2">
        <v>1735200</v>
      </c>
      <c r="G27" s="2">
        <v>752195</v>
      </c>
      <c r="H27" s="2">
        <v>756702</v>
      </c>
      <c r="I27" s="2">
        <v>755020</v>
      </c>
    </row>
    <row r="28" spans="4:9" ht="15.75" customHeight="1" x14ac:dyDescent="0.15">
      <c r="D28" s="2">
        <f t="shared" si="0"/>
        <v>23</v>
      </c>
      <c r="E28" s="2">
        <v>3258931</v>
      </c>
      <c r="F28" s="2">
        <v>1618136</v>
      </c>
      <c r="G28" s="2">
        <v>748943</v>
      </c>
      <c r="H28" s="2">
        <v>741591</v>
      </c>
      <c r="I28" s="2">
        <v>756142</v>
      </c>
    </row>
    <row r="29" spans="4:9" ht="15.75" customHeight="1" x14ac:dyDescent="0.15">
      <c r="D29" s="2">
        <f t="shared" si="0"/>
        <v>24</v>
      </c>
      <c r="E29" s="2">
        <v>3313856</v>
      </c>
      <c r="F29" s="2">
        <v>1512237</v>
      </c>
      <c r="G29" s="2">
        <v>739496</v>
      </c>
      <c r="H29" s="2">
        <v>745045</v>
      </c>
      <c r="I29" s="2">
        <v>728793</v>
      </c>
    </row>
    <row r="30" spans="4:9" ht="15.75" customHeight="1" x14ac:dyDescent="0.15">
      <c r="D30" s="2">
        <f t="shared" si="0"/>
        <v>25</v>
      </c>
      <c r="E30" s="2">
        <v>3243177</v>
      </c>
      <c r="F30" s="2">
        <v>1864495</v>
      </c>
      <c r="G30" s="2">
        <v>735169</v>
      </c>
      <c r="H30" s="2">
        <v>747474</v>
      </c>
      <c r="I30" s="2">
        <v>660488</v>
      </c>
    </row>
    <row r="31" spans="4:9" ht="15.75" customHeight="1" x14ac:dyDescent="0.15">
      <c r="D31" s="2">
        <f t="shared" si="0"/>
        <v>26</v>
      </c>
      <c r="E31" s="2">
        <v>3195318</v>
      </c>
      <c r="F31" s="2">
        <v>1512653</v>
      </c>
      <c r="G31" s="2">
        <v>735257</v>
      </c>
      <c r="H31" s="2">
        <v>742790</v>
      </c>
      <c r="I31" s="2">
        <v>758139</v>
      </c>
    </row>
    <row r="32" spans="4:9" ht="15.75" customHeight="1" x14ac:dyDescent="0.15">
      <c r="D32" s="2">
        <f t="shared" si="0"/>
        <v>27</v>
      </c>
      <c r="E32" s="2">
        <v>3353472</v>
      </c>
      <c r="F32" s="2">
        <v>1543201</v>
      </c>
      <c r="G32" s="2">
        <v>761131</v>
      </c>
      <c r="H32" s="2">
        <v>765572</v>
      </c>
      <c r="I32" s="2">
        <v>708281</v>
      </c>
    </row>
    <row r="33" spans="4:9" ht="15.75" customHeight="1" x14ac:dyDescent="0.15">
      <c r="D33" s="2">
        <f t="shared" si="0"/>
        <v>28</v>
      </c>
      <c r="E33" s="2">
        <v>3293314</v>
      </c>
      <c r="F33" s="2">
        <v>1656283</v>
      </c>
      <c r="G33" s="2">
        <v>738836</v>
      </c>
      <c r="H33" s="2">
        <v>769389</v>
      </c>
      <c r="I33" s="2">
        <v>754573</v>
      </c>
    </row>
    <row r="34" spans="4:9" ht="15.75" customHeight="1" x14ac:dyDescent="0.15">
      <c r="D34" s="2">
        <f t="shared" si="0"/>
        <v>29</v>
      </c>
      <c r="E34" s="2">
        <v>2958983</v>
      </c>
      <c r="F34" s="2">
        <v>1557588</v>
      </c>
      <c r="G34" s="2">
        <v>731298</v>
      </c>
      <c r="H34" s="2">
        <v>749448</v>
      </c>
      <c r="I34" s="2">
        <v>759147</v>
      </c>
    </row>
    <row r="35" spans="4:9" ht="15.75" customHeight="1" x14ac:dyDescent="0.15">
      <c r="D35" s="2">
        <f t="shared" si="0"/>
        <v>30</v>
      </c>
      <c r="E35" s="2">
        <v>3509272</v>
      </c>
      <c r="F35" s="2">
        <v>1677483</v>
      </c>
      <c r="G35" s="2">
        <v>734161</v>
      </c>
      <c r="H35" s="2">
        <v>790790</v>
      </c>
      <c r="I35" s="2">
        <v>699422</v>
      </c>
    </row>
    <row r="36" spans="4:9" ht="15.75" customHeight="1" x14ac:dyDescent="0.15">
      <c r="D36" s="1" t="s">
        <v>15</v>
      </c>
      <c r="E36" s="2">
        <f t="shared" ref="E36:I36" si="1">AVERAGE(E6:E35)</f>
        <v>3209446</v>
      </c>
      <c r="F36" s="2">
        <f t="shared" si="1"/>
        <v>1595046.0666666667</v>
      </c>
      <c r="G36" s="2">
        <f t="shared" si="1"/>
        <v>744515.6333333333</v>
      </c>
      <c r="H36" s="2">
        <f t="shared" si="1"/>
        <v>747485.73333333328</v>
      </c>
      <c r="I36" s="2">
        <f t="shared" si="1"/>
        <v>739925.6</v>
      </c>
    </row>
    <row r="37" spans="4:9" ht="15.75" customHeight="1" x14ac:dyDescent="0.15">
      <c r="D37" s="1" t="s">
        <v>16</v>
      </c>
      <c r="E37" s="2">
        <f t="shared" ref="E37:I37" si="2">STDEV(E6:E35)</f>
        <v>166676.46411722529</v>
      </c>
      <c r="F37" s="2">
        <f t="shared" si="2"/>
        <v>78784.83550126203</v>
      </c>
      <c r="G37" s="2">
        <f t="shared" si="2"/>
        <v>12169.67720220003</v>
      </c>
      <c r="H37" s="2">
        <f t="shared" si="2"/>
        <v>20836.993872691299</v>
      </c>
      <c r="I37" s="2">
        <f t="shared" si="2"/>
        <v>24414.124153434426</v>
      </c>
    </row>
    <row r="41" spans="4:9" ht="15.75" customHeight="1" x14ac:dyDescent="0.15">
      <c r="E41" s="1" t="s">
        <v>7</v>
      </c>
      <c r="F41" s="1" t="s">
        <v>8</v>
      </c>
      <c r="G41" s="1" t="s">
        <v>9</v>
      </c>
    </row>
    <row r="42" spans="4:9" ht="15.75" customHeight="1" x14ac:dyDescent="0.15">
      <c r="E42" s="2">
        <f>STDEV(E6:E35)</f>
        <v>166676.46411722529</v>
      </c>
      <c r="F42" s="2">
        <f>AVERAGE(E6:E35)</f>
        <v>3209446</v>
      </c>
      <c r="G42" s="2">
        <v>1</v>
      </c>
    </row>
    <row r="43" spans="4:9" ht="15.75" customHeight="1" x14ac:dyDescent="0.15">
      <c r="E43" s="2">
        <f>STDEV(F6:F35)</f>
        <v>78784.83550126203</v>
      </c>
      <c r="F43" s="2">
        <f>AVERAGE(F6:F35)</f>
        <v>1595046.0666666667</v>
      </c>
      <c r="G43" s="2">
        <v>2</v>
      </c>
    </row>
    <row r="44" spans="4:9" ht="15.75" customHeight="1" x14ac:dyDescent="0.15">
      <c r="E44" s="2">
        <f>STDEV(G6:G35)</f>
        <v>12169.67720220003</v>
      </c>
      <c r="F44" s="2">
        <f>AVERAGE(G6:G35)</f>
        <v>744515.6333333333</v>
      </c>
      <c r="G44" s="2">
        <v>4</v>
      </c>
    </row>
    <row r="45" spans="4:9" ht="15.75" customHeight="1" x14ac:dyDescent="0.15">
      <c r="E45" s="2">
        <f>STDEV(H6:H35)</f>
        <v>20836.993872691299</v>
      </c>
      <c r="F45" s="2">
        <f>AVERAGE(H6:H35)</f>
        <v>747485.73333333328</v>
      </c>
      <c r="G45" s="2">
        <v>8</v>
      </c>
    </row>
    <row r="46" spans="4:9" ht="15.75" customHeight="1" x14ac:dyDescent="0.15">
      <c r="E46" s="2">
        <f>STDEV(I6:I35)</f>
        <v>24414.124153434426</v>
      </c>
      <c r="F46" s="2">
        <f>AVERAGE(I6:I35)</f>
        <v>739925.6</v>
      </c>
      <c r="G46" s="2">
        <v>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C3:H43"/>
  <sheetViews>
    <sheetView topLeftCell="A21" workbookViewId="0"/>
  </sheetViews>
  <sheetFormatPr baseColWidth="10" defaultColWidth="12.6640625" defaultRowHeight="15.75" customHeight="1" x14ac:dyDescent="0.15"/>
  <cols>
    <col min="4" max="4" width="22.1640625" customWidth="1"/>
    <col min="5" max="5" width="22.33203125" customWidth="1"/>
    <col min="6" max="6" width="25.6640625" customWidth="1"/>
    <col min="7" max="7" width="28.33203125" customWidth="1"/>
    <col min="8" max="8" width="25.83203125" customWidth="1"/>
  </cols>
  <sheetData>
    <row r="3" spans="3:8" ht="15.75" customHeight="1" x14ac:dyDescent="0.15">
      <c r="C3" s="1"/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</row>
    <row r="4" spans="3:8" ht="15.75" customHeight="1" x14ac:dyDescent="0.15">
      <c r="C4" s="2">
        <v>1</v>
      </c>
      <c r="D4" s="2">
        <v>8123892</v>
      </c>
      <c r="E4" s="2">
        <v>4271071</v>
      </c>
      <c r="F4" s="2">
        <v>1848653</v>
      </c>
      <c r="G4" s="2">
        <v>1889247</v>
      </c>
      <c r="H4" s="2">
        <v>1814740</v>
      </c>
    </row>
    <row r="5" spans="3:8" ht="15.75" customHeight="1" x14ac:dyDescent="0.15">
      <c r="C5" s="2">
        <f t="shared" ref="C5:C33" si="0">C4+1</f>
        <v>2</v>
      </c>
      <c r="D5" s="2">
        <v>8524155</v>
      </c>
      <c r="E5" s="2">
        <v>4159003</v>
      </c>
      <c r="F5" s="2">
        <v>1953155</v>
      </c>
      <c r="G5" s="2">
        <v>1904945</v>
      </c>
      <c r="H5" s="2">
        <v>1810997</v>
      </c>
    </row>
    <row r="6" spans="3:8" ht="15.75" customHeight="1" x14ac:dyDescent="0.15">
      <c r="C6" s="2">
        <f t="shared" si="0"/>
        <v>3</v>
      </c>
      <c r="D6" s="2">
        <v>8818656</v>
      </c>
      <c r="E6" s="2">
        <v>4141507</v>
      </c>
      <c r="F6" s="2">
        <v>1904633</v>
      </c>
      <c r="G6" s="2">
        <v>1824205</v>
      </c>
      <c r="H6" s="2">
        <v>1804584</v>
      </c>
    </row>
    <row r="7" spans="3:8" ht="15.75" customHeight="1" x14ac:dyDescent="0.15">
      <c r="C7" s="2">
        <f t="shared" si="0"/>
        <v>4</v>
      </c>
      <c r="D7" s="2">
        <v>8369848</v>
      </c>
      <c r="E7" s="2">
        <v>4120889</v>
      </c>
      <c r="F7" s="2">
        <v>1841838</v>
      </c>
      <c r="G7" s="2">
        <v>1878067</v>
      </c>
      <c r="H7" s="2">
        <v>1831317</v>
      </c>
    </row>
    <row r="8" spans="3:8" ht="15.75" customHeight="1" x14ac:dyDescent="0.15">
      <c r="C8" s="2">
        <f t="shared" si="0"/>
        <v>5</v>
      </c>
      <c r="D8" s="2">
        <v>8628640</v>
      </c>
      <c r="E8" s="2">
        <v>3957768</v>
      </c>
      <c r="F8" s="2">
        <v>1919164</v>
      </c>
      <c r="G8" s="2">
        <v>1870818</v>
      </c>
      <c r="H8" s="2">
        <v>1850472</v>
      </c>
    </row>
    <row r="9" spans="3:8" ht="15.75" customHeight="1" x14ac:dyDescent="0.15">
      <c r="C9" s="2">
        <f t="shared" si="0"/>
        <v>6</v>
      </c>
      <c r="D9" s="2">
        <v>8671477</v>
      </c>
      <c r="E9" s="2">
        <v>4328440</v>
      </c>
      <c r="F9" s="2">
        <v>1895248</v>
      </c>
      <c r="G9" s="2">
        <v>1835250</v>
      </c>
      <c r="H9" s="2">
        <v>1733372</v>
      </c>
    </row>
    <row r="10" spans="3:8" ht="15.75" customHeight="1" x14ac:dyDescent="0.15">
      <c r="C10" s="2">
        <f t="shared" si="0"/>
        <v>7</v>
      </c>
      <c r="D10" s="2">
        <v>6753842</v>
      </c>
      <c r="E10" s="2">
        <v>4118516</v>
      </c>
      <c r="F10" s="2">
        <v>1996120</v>
      </c>
      <c r="G10" s="2">
        <v>1827119</v>
      </c>
      <c r="H10" s="2">
        <v>1537597</v>
      </c>
    </row>
    <row r="11" spans="3:8" ht="15.75" customHeight="1" x14ac:dyDescent="0.15">
      <c r="C11" s="2">
        <f t="shared" si="0"/>
        <v>8</v>
      </c>
      <c r="D11" s="2">
        <v>8678112</v>
      </c>
      <c r="E11" s="2">
        <v>4226442</v>
      </c>
      <c r="F11" s="2">
        <v>1911244</v>
      </c>
      <c r="G11" s="2">
        <v>1820916</v>
      </c>
      <c r="H11" s="2">
        <v>1803156</v>
      </c>
    </row>
    <row r="12" spans="3:8" ht="15.75" customHeight="1" x14ac:dyDescent="0.15">
      <c r="C12" s="2">
        <f t="shared" si="0"/>
        <v>9</v>
      </c>
      <c r="D12" s="2">
        <v>8654476</v>
      </c>
      <c r="E12" s="2">
        <v>4229803</v>
      </c>
      <c r="F12" s="2">
        <v>1895360</v>
      </c>
      <c r="G12" s="2">
        <v>1820274</v>
      </c>
      <c r="H12" s="2">
        <v>1723899</v>
      </c>
    </row>
    <row r="13" spans="3:8" ht="15.75" customHeight="1" x14ac:dyDescent="0.15">
      <c r="C13" s="2">
        <f t="shared" si="0"/>
        <v>10</v>
      </c>
      <c r="D13" s="2">
        <v>8764204</v>
      </c>
      <c r="E13" s="2">
        <v>4159473</v>
      </c>
      <c r="F13" s="2">
        <v>1914029</v>
      </c>
      <c r="G13" s="2">
        <v>1838949</v>
      </c>
      <c r="H13" s="2">
        <v>1810688</v>
      </c>
    </row>
    <row r="14" spans="3:8" ht="15.75" customHeight="1" x14ac:dyDescent="0.15">
      <c r="C14" s="2">
        <f t="shared" si="0"/>
        <v>11</v>
      </c>
      <c r="D14" s="2">
        <v>8643962</v>
      </c>
      <c r="E14" s="2">
        <v>3990252</v>
      </c>
      <c r="F14" s="2">
        <v>1922196</v>
      </c>
      <c r="G14" s="2">
        <v>1834106</v>
      </c>
      <c r="H14" s="2">
        <v>1709837</v>
      </c>
    </row>
    <row r="15" spans="3:8" ht="15.75" customHeight="1" x14ac:dyDescent="0.15">
      <c r="C15" s="2">
        <f t="shared" si="0"/>
        <v>12</v>
      </c>
      <c r="D15" s="2">
        <v>8678774</v>
      </c>
      <c r="E15" s="2">
        <v>4179905</v>
      </c>
      <c r="F15" s="2">
        <v>1908434</v>
      </c>
      <c r="G15" s="2">
        <v>1851015</v>
      </c>
      <c r="H15" s="2">
        <v>1689102</v>
      </c>
    </row>
    <row r="16" spans="3:8" ht="15.75" customHeight="1" x14ac:dyDescent="0.15">
      <c r="C16" s="2">
        <f t="shared" si="0"/>
        <v>13</v>
      </c>
      <c r="D16" s="2">
        <v>8753780</v>
      </c>
      <c r="E16" s="2">
        <v>4206297</v>
      </c>
      <c r="F16" s="2">
        <v>1898673</v>
      </c>
      <c r="G16" s="2">
        <v>1829787</v>
      </c>
      <c r="H16" s="2">
        <v>1701401</v>
      </c>
    </row>
    <row r="17" spans="3:8" ht="15.75" customHeight="1" x14ac:dyDescent="0.15">
      <c r="C17" s="2">
        <f t="shared" si="0"/>
        <v>14</v>
      </c>
      <c r="D17" s="2">
        <v>8767516</v>
      </c>
      <c r="E17" s="2">
        <v>4009064</v>
      </c>
      <c r="F17" s="2">
        <v>1899776</v>
      </c>
      <c r="G17" s="2">
        <v>1834488</v>
      </c>
      <c r="H17" s="2">
        <v>1812052</v>
      </c>
    </row>
    <row r="18" spans="3:8" ht="15.75" customHeight="1" x14ac:dyDescent="0.15">
      <c r="C18" s="2">
        <f t="shared" si="0"/>
        <v>15</v>
      </c>
      <c r="D18" s="2">
        <v>8668641</v>
      </c>
      <c r="E18" s="2">
        <v>4132439</v>
      </c>
      <c r="F18" s="2">
        <v>1895356</v>
      </c>
      <c r="G18" s="2">
        <v>1846970</v>
      </c>
      <c r="H18" s="2">
        <v>1745842</v>
      </c>
    </row>
    <row r="19" spans="3:8" ht="15.75" customHeight="1" x14ac:dyDescent="0.15">
      <c r="C19" s="2">
        <f t="shared" si="0"/>
        <v>16</v>
      </c>
      <c r="D19" s="2">
        <v>8812685</v>
      </c>
      <c r="E19" s="2">
        <v>4245612</v>
      </c>
      <c r="F19" s="2">
        <v>1853265</v>
      </c>
      <c r="G19" s="2">
        <v>1824296</v>
      </c>
      <c r="H19" s="2">
        <v>1573675</v>
      </c>
    </row>
    <row r="20" spans="3:8" ht="15.75" customHeight="1" x14ac:dyDescent="0.15">
      <c r="C20" s="2">
        <f t="shared" si="0"/>
        <v>17</v>
      </c>
      <c r="D20" s="2">
        <v>8609060</v>
      </c>
      <c r="E20" s="2">
        <v>4090503</v>
      </c>
      <c r="F20" s="2">
        <v>1958560</v>
      </c>
      <c r="G20" s="2">
        <v>1833755</v>
      </c>
      <c r="H20" s="2">
        <v>1658638</v>
      </c>
    </row>
    <row r="21" spans="3:8" ht="15.75" customHeight="1" x14ac:dyDescent="0.15">
      <c r="C21" s="2">
        <f t="shared" si="0"/>
        <v>18</v>
      </c>
      <c r="D21" s="2">
        <v>8657778</v>
      </c>
      <c r="E21" s="2">
        <v>4040667</v>
      </c>
      <c r="F21" s="2">
        <v>1916233</v>
      </c>
      <c r="G21" s="2">
        <v>1750574</v>
      </c>
      <c r="H21" s="2">
        <v>1681443</v>
      </c>
    </row>
    <row r="22" spans="3:8" ht="15.75" customHeight="1" x14ac:dyDescent="0.15">
      <c r="C22" s="2">
        <f t="shared" si="0"/>
        <v>19</v>
      </c>
      <c r="D22" s="2">
        <v>8861060</v>
      </c>
      <c r="E22" s="2">
        <v>4234419</v>
      </c>
      <c r="F22" s="2">
        <v>1962408</v>
      </c>
      <c r="G22" s="2">
        <v>1816066</v>
      </c>
      <c r="H22" s="2">
        <v>1704839</v>
      </c>
    </row>
    <row r="23" spans="3:8" ht="15.75" customHeight="1" x14ac:dyDescent="0.15">
      <c r="C23" s="2">
        <f t="shared" si="0"/>
        <v>20</v>
      </c>
      <c r="D23" s="2">
        <v>8717899</v>
      </c>
      <c r="E23" s="2">
        <v>4249653</v>
      </c>
      <c r="F23" s="2">
        <v>1888669</v>
      </c>
      <c r="G23" s="2">
        <v>1848785</v>
      </c>
      <c r="H23" s="2">
        <v>1802983</v>
      </c>
    </row>
    <row r="24" spans="3:8" ht="15.75" customHeight="1" x14ac:dyDescent="0.15">
      <c r="C24" s="2">
        <f t="shared" si="0"/>
        <v>21</v>
      </c>
      <c r="D24" s="2">
        <v>8788732</v>
      </c>
      <c r="E24" s="2">
        <v>4152506</v>
      </c>
      <c r="F24" s="2">
        <v>1901152</v>
      </c>
      <c r="G24" s="2">
        <v>1856765</v>
      </c>
      <c r="H24" s="2">
        <v>1698437</v>
      </c>
    </row>
    <row r="25" spans="3:8" ht="15.75" customHeight="1" x14ac:dyDescent="0.15">
      <c r="C25" s="2">
        <f t="shared" si="0"/>
        <v>22</v>
      </c>
      <c r="D25" s="2">
        <v>8874985</v>
      </c>
      <c r="E25" s="2">
        <v>4141417</v>
      </c>
      <c r="F25" s="2">
        <v>1877452</v>
      </c>
      <c r="G25" s="2">
        <v>1769203</v>
      </c>
      <c r="H25" s="2">
        <v>1820722</v>
      </c>
    </row>
    <row r="26" spans="3:8" ht="15.75" customHeight="1" x14ac:dyDescent="0.15">
      <c r="C26" s="2">
        <f t="shared" si="0"/>
        <v>23</v>
      </c>
      <c r="D26" s="2">
        <v>8809350</v>
      </c>
      <c r="E26" s="2">
        <v>4273346</v>
      </c>
      <c r="F26" s="2">
        <v>1887966</v>
      </c>
      <c r="G26" s="2">
        <v>1834360</v>
      </c>
      <c r="H26" s="2">
        <v>1817375</v>
      </c>
    </row>
    <row r="27" spans="3:8" ht="15.75" customHeight="1" x14ac:dyDescent="0.15">
      <c r="C27" s="2">
        <f t="shared" si="0"/>
        <v>24</v>
      </c>
      <c r="D27" s="2">
        <v>8695854</v>
      </c>
      <c r="E27" s="2">
        <v>4238737</v>
      </c>
      <c r="F27" s="2">
        <v>1914365</v>
      </c>
      <c r="G27" s="2">
        <v>1686512</v>
      </c>
      <c r="H27" s="2">
        <v>1688216</v>
      </c>
    </row>
    <row r="28" spans="3:8" ht="15.75" customHeight="1" x14ac:dyDescent="0.15">
      <c r="C28" s="2">
        <f t="shared" si="0"/>
        <v>25</v>
      </c>
      <c r="D28" s="2">
        <v>8726923</v>
      </c>
      <c r="E28" s="2">
        <v>4220710</v>
      </c>
      <c r="F28" s="2">
        <v>1921607</v>
      </c>
      <c r="G28" s="2">
        <v>1815869</v>
      </c>
      <c r="H28" s="2">
        <v>1573918</v>
      </c>
    </row>
    <row r="29" spans="3:8" ht="15.75" customHeight="1" x14ac:dyDescent="0.15">
      <c r="C29" s="2">
        <f t="shared" si="0"/>
        <v>26</v>
      </c>
      <c r="D29" s="2">
        <v>8133194</v>
      </c>
      <c r="E29" s="2">
        <v>4157475</v>
      </c>
      <c r="F29" s="2">
        <v>1892586</v>
      </c>
      <c r="G29" s="2">
        <v>1734796</v>
      </c>
      <c r="H29" s="2">
        <v>1710664</v>
      </c>
    </row>
    <row r="30" spans="3:8" ht="15.75" customHeight="1" x14ac:dyDescent="0.15">
      <c r="C30" s="2">
        <f t="shared" si="0"/>
        <v>27</v>
      </c>
      <c r="D30" s="2">
        <v>8862622</v>
      </c>
      <c r="E30" s="2">
        <v>4365200</v>
      </c>
      <c r="F30" s="2">
        <v>1907012</v>
      </c>
      <c r="G30" s="2">
        <v>1808660</v>
      </c>
      <c r="H30" s="2">
        <v>1771680</v>
      </c>
    </row>
    <row r="31" spans="3:8" ht="15.75" customHeight="1" x14ac:dyDescent="0.15">
      <c r="C31" s="2">
        <f t="shared" si="0"/>
        <v>28</v>
      </c>
      <c r="D31" s="2">
        <v>8612744</v>
      </c>
      <c r="E31" s="2">
        <v>4157887</v>
      </c>
      <c r="F31" s="2">
        <v>1864104</v>
      </c>
      <c r="G31" s="2">
        <v>1834962</v>
      </c>
      <c r="H31" s="2">
        <v>1692627</v>
      </c>
    </row>
    <row r="32" spans="3:8" ht="15.75" customHeight="1" x14ac:dyDescent="0.15">
      <c r="C32" s="2">
        <f t="shared" si="0"/>
        <v>29</v>
      </c>
      <c r="D32" s="2">
        <v>8197409</v>
      </c>
      <c r="E32" s="2">
        <v>4163859</v>
      </c>
      <c r="F32" s="2">
        <v>1894030</v>
      </c>
      <c r="G32" s="2">
        <v>1825101</v>
      </c>
      <c r="H32" s="2">
        <v>1698174</v>
      </c>
    </row>
    <row r="33" spans="3:8" ht="15.75" customHeight="1" x14ac:dyDescent="0.15">
      <c r="C33" s="2">
        <f t="shared" si="0"/>
        <v>30</v>
      </c>
      <c r="D33" s="2">
        <v>8714257</v>
      </c>
      <c r="E33" s="2">
        <v>4275763</v>
      </c>
      <c r="F33" s="2">
        <v>1905463</v>
      </c>
      <c r="G33" s="2">
        <v>1814814</v>
      </c>
      <c r="H33" s="2">
        <v>1704586</v>
      </c>
    </row>
    <row r="34" spans="3:8" ht="15.75" customHeight="1" x14ac:dyDescent="0.15">
      <c r="C34" s="1" t="s">
        <v>15</v>
      </c>
      <c r="D34" s="2">
        <f t="shared" ref="D34:H34" si="1">AVERAGE(D4:D33)</f>
        <v>8585817.5666666664</v>
      </c>
      <c r="E34" s="2">
        <f t="shared" si="1"/>
        <v>4174620.7666666666</v>
      </c>
      <c r="F34" s="2">
        <f t="shared" si="1"/>
        <v>1904958.3666666667</v>
      </c>
      <c r="G34" s="2">
        <f t="shared" si="1"/>
        <v>1825355.8</v>
      </c>
      <c r="H34" s="2">
        <f t="shared" si="1"/>
        <v>1732567.7666666666</v>
      </c>
    </row>
    <row r="35" spans="3:8" ht="15.75" customHeight="1" x14ac:dyDescent="0.15">
      <c r="C35" s="1" t="s">
        <v>16</v>
      </c>
      <c r="D35" s="2">
        <f t="shared" ref="D35:H35" si="2">STDEV(D4:D33)</f>
        <v>398931.3948731366</v>
      </c>
      <c r="E35" s="2">
        <f t="shared" si="2"/>
        <v>94979.680002032561</v>
      </c>
      <c r="F35" s="2">
        <f t="shared" si="2"/>
        <v>32892.477265387337</v>
      </c>
      <c r="G35" s="2">
        <f t="shared" si="2"/>
        <v>43735.285850687877</v>
      </c>
      <c r="H35" s="2">
        <f t="shared" si="2"/>
        <v>80660.647322352437</v>
      </c>
    </row>
    <row r="38" spans="3:8" ht="15.75" customHeight="1" x14ac:dyDescent="0.15">
      <c r="D38" s="1" t="s">
        <v>7</v>
      </c>
      <c r="E38" s="1" t="s">
        <v>8</v>
      </c>
      <c r="F38" s="1" t="s">
        <v>9</v>
      </c>
    </row>
    <row r="39" spans="3:8" ht="15.75" customHeight="1" x14ac:dyDescent="0.15">
      <c r="D39" s="2">
        <f>STDEV(D4:D33)</f>
        <v>398931.3948731366</v>
      </c>
      <c r="E39" s="2">
        <f>AVERAGE(D4:D33)</f>
        <v>8585817.5666666664</v>
      </c>
      <c r="F39" s="2">
        <v>1</v>
      </c>
    </row>
    <row r="40" spans="3:8" ht="15.75" customHeight="1" x14ac:dyDescent="0.15">
      <c r="D40" s="2">
        <f>STDEV(E4:E33)</f>
        <v>94979.680002032561</v>
      </c>
      <c r="E40" s="2">
        <f>AVERAGE(E4:E33)</f>
        <v>4174620.7666666666</v>
      </c>
      <c r="F40" s="2">
        <v>2</v>
      </c>
    </row>
    <row r="41" spans="3:8" ht="15.75" customHeight="1" x14ac:dyDescent="0.15">
      <c r="D41" s="2">
        <f>STDEV(F4:F33)</f>
        <v>32892.477265387337</v>
      </c>
      <c r="E41" s="2">
        <f>AVERAGE(F4:F33)</f>
        <v>1904958.3666666667</v>
      </c>
      <c r="F41" s="2">
        <v>4</v>
      </c>
    </row>
    <row r="42" spans="3:8" ht="15.75" customHeight="1" x14ac:dyDescent="0.15">
      <c r="D42" s="2">
        <f>STDEV(G4:G33)</f>
        <v>43735.285850687877</v>
      </c>
      <c r="E42" s="2">
        <f>AVERAGE(G4:G33)</f>
        <v>1825355.8</v>
      </c>
      <c r="F42" s="2">
        <v>8</v>
      </c>
    </row>
    <row r="43" spans="3:8" ht="15.75" customHeight="1" x14ac:dyDescent="0.15">
      <c r="D43" s="2">
        <f>STDEV(H4:H33)</f>
        <v>80660.647322352437</v>
      </c>
      <c r="E43" s="2">
        <f>AVERAGE(H4:H33)</f>
        <v>1732567.7666666666</v>
      </c>
      <c r="F43" s="2">
        <v>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C3:H44"/>
  <sheetViews>
    <sheetView workbookViewId="0"/>
  </sheetViews>
  <sheetFormatPr baseColWidth="10" defaultColWidth="12.6640625" defaultRowHeight="15.75" customHeight="1" x14ac:dyDescent="0.15"/>
  <cols>
    <col min="4" max="4" width="25.33203125" customWidth="1"/>
    <col min="5" max="5" width="31.6640625" customWidth="1"/>
    <col min="6" max="6" width="30.5" customWidth="1"/>
    <col min="7" max="7" width="28.6640625" customWidth="1"/>
    <col min="8" max="8" width="24.5" customWidth="1"/>
  </cols>
  <sheetData>
    <row r="3" spans="3:8" ht="15.75" customHeight="1" x14ac:dyDescent="0.15">
      <c r="C3" s="1"/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</row>
    <row r="4" spans="3:8" ht="15.75" customHeight="1" x14ac:dyDescent="0.15">
      <c r="C4" s="2">
        <v>1</v>
      </c>
      <c r="D4" s="2">
        <v>19914602</v>
      </c>
      <c r="E4" s="2">
        <v>10085529</v>
      </c>
      <c r="F4" s="2">
        <v>4825243</v>
      </c>
      <c r="G4" s="2">
        <v>3911303</v>
      </c>
      <c r="H4" s="2">
        <v>3709918</v>
      </c>
    </row>
    <row r="5" spans="3:8" ht="15.75" customHeight="1" x14ac:dyDescent="0.15">
      <c r="C5" s="2">
        <f t="shared" ref="C5:C33" si="0">C4+1</f>
        <v>2</v>
      </c>
      <c r="D5" s="2">
        <v>19516365</v>
      </c>
      <c r="E5" s="2">
        <v>10200634</v>
      </c>
      <c r="F5" s="2">
        <v>4502046</v>
      </c>
      <c r="G5" s="2">
        <v>3946077</v>
      </c>
      <c r="H5" s="2">
        <v>3654144</v>
      </c>
    </row>
    <row r="6" spans="3:8" ht="15.75" customHeight="1" x14ac:dyDescent="0.15">
      <c r="C6" s="2">
        <f t="shared" si="0"/>
        <v>3</v>
      </c>
      <c r="D6" s="2">
        <v>20093640</v>
      </c>
      <c r="E6" s="2">
        <v>9868390</v>
      </c>
      <c r="F6" s="2">
        <v>4761473</v>
      </c>
      <c r="G6" s="2">
        <v>3909888</v>
      </c>
      <c r="H6" s="2">
        <v>3828160</v>
      </c>
    </row>
    <row r="7" spans="3:8" ht="15.75" customHeight="1" x14ac:dyDescent="0.15">
      <c r="C7" s="2">
        <f t="shared" si="0"/>
        <v>4</v>
      </c>
      <c r="D7" s="2">
        <v>19334846</v>
      </c>
      <c r="E7" s="2">
        <v>10048788</v>
      </c>
      <c r="F7" s="2">
        <v>4560414</v>
      </c>
      <c r="G7" s="2">
        <v>3866660</v>
      </c>
      <c r="H7" s="2">
        <v>3644502</v>
      </c>
    </row>
    <row r="8" spans="3:8" ht="15.75" customHeight="1" x14ac:dyDescent="0.15">
      <c r="C8" s="2">
        <f t="shared" si="0"/>
        <v>5</v>
      </c>
      <c r="D8" s="2">
        <v>19971508</v>
      </c>
      <c r="E8" s="2">
        <v>9915398</v>
      </c>
      <c r="F8" s="2">
        <v>4128503</v>
      </c>
      <c r="G8" s="2">
        <v>3896179</v>
      </c>
      <c r="H8" s="2">
        <v>3867351</v>
      </c>
    </row>
    <row r="9" spans="3:8" ht="15.75" customHeight="1" x14ac:dyDescent="0.15">
      <c r="C9" s="2">
        <f t="shared" si="0"/>
        <v>6</v>
      </c>
      <c r="D9" s="2">
        <v>20433084</v>
      </c>
      <c r="E9" s="2">
        <v>10057876</v>
      </c>
      <c r="F9" s="2">
        <v>4165016</v>
      </c>
      <c r="G9" s="2">
        <v>3742584</v>
      </c>
      <c r="H9" s="2">
        <v>3755023</v>
      </c>
    </row>
    <row r="10" spans="3:8" ht="15.75" customHeight="1" x14ac:dyDescent="0.15">
      <c r="C10" s="2">
        <f t="shared" si="0"/>
        <v>7</v>
      </c>
      <c r="D10" s="2">
        <v>19824069</v>
      </c>
      <c r="E10" s="2">
        <v>9987471</v>
      </c>
      <c r="F10" s="2">
        <v>4127651</v>
      </c>
      <c r="G10" s="2">
        <v>3733482</v>
      </c>
      <c r="H10" s="2">
        <v>3625995</v>
      </c>
    </row>
    <row r="11" spans="3:8" ht="15.75" customHeight="1" x14ac:dyDescent="0.15">
      <c r="C11" s="2">
        <f t="shared" si="0"/>
        <v>8</v>
      </c>
      <c r="D11" s="2">
        <v>20250192</v>
      </c>
      <c r="E11" s="2">
        <v>10132380</v>
      </c>
      <c r="F11" s="2">
        <v>4757911</v>
      </c>
      <c r="G11" s="2">
        <v>3851339</v>
      </c>
      <c r="H11" s="2">
        <v>3597764</v>
      </c>
    </row>
    <row r="12" spans="3:8" ht="15.75" customHeight="1" x14ac:dyDescent="0.15">
      <c r="C12" s="2">
        <f t="shared" si="0"/>
        <v>9</v>
      </c>
      <c r="D12" s="2">
        <v>20849284</v>
      </c>
      <c r="E12" s="2">
        <v>9805277</v>
      </c>
      <c r="F12" s="2">
        <v>4716628</v>
      </c>
      <c r="G12" s="2">
        <v>3855505</v>
      </c>
      <c r="H12" s="2">
        <v>3928638</v>
      </c>
    </row>
    <row r="13" spans="3:8" ht="15.75" customHeight="1" x14ac:dyDescent="0.15">
      <c r="C13" s="2">
        <f t="shared" si="0"/>
        <v>10</v>
      </c>
      <c r="D13" s="2">
        <v>20000644</v>
      </c>
      <c r="E13" s="2">
        <v>9813720</v>
      </c>
      <c r="F13" s="2">
        <v>4828276</v>
      </c>
      <c r="G13" s="2">
        <v>3819491</v>
      </c>
      <c r="H13" s="2">
        <v>3736775</v>
      </c>
    </row>
    <row r="14" spans="3:8" ht="15.75" customHeight="1" x14ac:dyDescent="0.15">
      <c r="C14" s="2">
        <f t="shared" si="0"/>
        <v>11</v>
      </c>
      <c r="D14" s="2">
        <v>20991524</v>
      </c>
      <c r="E14" s="2">
        <v>10014703</v>
      </c>
      <c r="F14" s="2">
        <v>4522166</v>
      </c>
      <c r="G14" s="2">
        <v>3932342</v>
      </c>
      <c r="H14" s="2">
        <v>3890639</v>
      </c>
    </row>
    <row r="15" spans="3:8" ht="15.75" customHeight="1" x14ac:dyDescent="0.15">
      <c r="C15" s="2">
        <f t="shared" si="0"/>
        <v>12</v>
      </c>
      <c r="D15" s="2">
        <v>18527236</v>
      </c>
      <c r="E15" s="2">
        <v>10007128</v>
      </c>
      <c r="F15" s="2">
        <v>4162615</v>
      </c>
      <c r="G15" s="2">
        <v>3930647</v>
      </c>
      <c r="H15" s="2">
        <v>3792520</v>
      </c>
    </row>
    <row r="16" spans="3:8" ht="15.75" customHeight="1" x14ac:dyDescent="0.15">
      <c r="C16" s="2">
        <f t="shared" si="0"/>
        <v>13</v>
      </c>
      <c r="D16" s="2">
        <v>20930247</v>
      </c>
      <c r="E16" s="2">
        <v>10107519</v>
      </c>
      <c r="F16" s="2">
        <v>4806787</v>
      </c>
      <c r="G16" s="2">
        <v>3982204</v>
      </c>
      <c r="H16" s="2">
        <v>3833993</v>
      </c>
    </row>
    <row r="17" spans="3:8" ht="15.75" customHeight="1" x14ac:dyDescent="0.15">
      <c r="C17" s="2">
        <f t="shared" si="0"/>
        <v>14</v>
      </c>
      <c r="D17" s="2">
        <v>19506286</v>
      </c>
      <c r="E17" s="2">
        <v>10111775</v>
      </c>
      <c r="F17" s="2">
        <v>4124044</v>
      </c>
      <c r="G17" s="2">
        <v>3925723</v>
      </c>
      <c r="H17" s="2">
        <v>3785133</v>
      </c>
    </row>
    <row r="18" spans="3:8" ht="15.75" customHeight="1" x14ac:dyDescent="0.15">
      <c r="C18" s="2">
        <f t="shared" si="0"/>
        <v>15</v>
      </c>
      <c r="D18" s="2">
        <v>19737930</v>
      </c>
      <c r="E18" s="2">
        <v>9273997</v>
      </c>
      <c r="F18" s="2">
        <v>4129174</v>
      </c>
      <c r="G18" s="2">
        <v>3987655</v>
      </c>
      <c r="H18" s="2">
        <v>3885558</v>
      </c>
    </row>
    <row r="19" spans="3:8" ht="15.75" customHeight="1" x14ac:dyDescent="0.15">
      <c r="C19" s="2">
        <f t="shared" si="0"/>
        <v>16</v>
      </c>
      <c r="D19" s="2">
        <v>19574223</v>
      </c>
      <c r="E19" s="2">
        <v>9402027</v>
      </c>
      <c r="F19" s="2">
        <v>4621135</v>
      </c>
      <c r="G19" s="2">
        <v>3991467</v>
      </c>
      <c r="H19" s="2">
        <v>3834528</v>
      </c>
    </row>
    <row r="20" spans="3:8" ht="15.75" customHeight="1" x14ac:dyDescent="0.15">
      <c r="C20" s="2">
        <f t="shared" si="0"/>
        <v>17</v>
      </c>
      <c r="D20" s="2">
        <v>19293255</v>
      </c>
      <c r="E20" s="2">
        <v>9495398</v>
      </c>
      <c r="F20" s="2">
        <v>4400244</v>
      </c>
      <c r="G20" s="2">
        <v>3908472</v>
      </c>
      <c r="H20" s="2">
        <v>3775068</v>
      </c>
    </row>
    <row r="21" spans="3:8" ht="15.75" customHeight="1" x14ac:dyDescent="0.15">
      <c r="C21" s="2">
        <f t="shared" si="0"/>
        <v>18</v>
      </c>
      <c r="D21" s="2">
        <v>20473664</v>
      </c>
      <c r="E21" s="2">
        <v>9866218</v>
      </c>
      <c r="F21" s="2">
        <v>5005652</v>
      </c>
      <c r="G21" s="2">
        <v>3930262</v>
      </c>
      <c r="H21" s="2">
        <v>3812501</v>
      </c>
    </row>
    <row r="22" spans="3:8" ht="15.75" customHeight="1" x14ac:dyDescent="0.15">
      <c r="C22" s="2">
        <f t="shared" si="0"/>
        <v>19</v>
      </c>
      <c r="D22" s="2">
        <v>20456449</v>
      </c>
      <c r="E22" s="2">
        <v>10190328</v>
      </c>
      <c r="F22" s="2">
        <v>4571249</v>
      </c>
      <c r="G22" s="2">
        <v>4185163</v>
      </c>
      <c r="H22" s="2">
        <v>3734890</v>
      </c>
    </row>
    <row r="23" spans="3:8" ht="15.75" customHeight="1" x14ac:dyDescent="0.15">
      <c r="C23" s="2">
        <f t="shared" si="0"/>
        <v>20</v>
      </c>
      <c r="D23" s="2">
        <v>20661466</v>
      </c>
      <c r="E23" s="2">
        <v>9828185</v>
      </c>
      <c r="F23" s="2">
        <v>4385807</v>
      </c>
      <c r="G23" s="2">
        <v>4490212</v>
      </c>
      <c r="H23" s="2">
        <v>3733903</v>
      </c>
    </row>
    <row r="24" spans="3:8" ht="15.75" customHeight="1" x14ac:dyDescent="0.15">
      <c r="C24" s="2">
        <f t="shared" si="0"/>
        <v>21</v>
      </c>
      <c r="D24" s="2">
        <v>19748730</v>
      </c>
      <c r="E24" s="2">
        <v>9424196</v>
      </c>
      <c r="F24" s="2">
        <v>4855846</v>
      </c>
      <c r="G24" s="2">
        <v>4111728</v>
      </c>
      <c r="H24" s="2">
        <v>3655849</v>
      </c>
    </row>
    <row r="25" spans="3:8" ht="15.75" customHeight="1" x14ac:dyDescent="0.15">
      <c r="C25" s="2">
        <f t="shared" si="0"/>
        <v>22</v>
      </c>
      <c r="D25" s="2">
        <v>20844191</v>
      </c>
      <c r="E25" s="2">
        <v>9648687</v>
      </c>
      <c r="F25" s="2">
        <v>5188762</v>
      </c>
      <c r="G25" s="2">
        <v>3793580</v>
      </c>
      <c r="H25" s="2">
        <v>3661059</v>
      </c>
    </row>
    <row r="26" spans="3:8" ht="15.75" customHeight="1" x14ac:dyDescent="0.15">
      <c r="C26" s="2">
        <f t="shared" si="0"/>
        <v>23</v>
      </c>
      <c r="D26" s="2">
        <v>19268991</v>
      </c>
      <c r="E26" s="2">
        <v>9094861</v>
      </c>
      <c r="F26" s="2">
        <v>5620885</v>
      </c>
      <c r="G26" s="2">
        <v>3904948</v>
      </c>
      <c r="H26" s="2">
        <v>3815795</v>
      </c>
    </row>
    <row r="27" spans="3:8" ht="15.75" customHeight="1" x14ac:dyDescent="0.15">
      <c r="C27" s="2">
        <f t="shared" si="0"/>
        <v>24</v>
      </c>
      <c r="D27" s="2">
        <v>19905260</v>
      </c>
      <c r="E27" s="2">
        <v>10114794</v>
      </c>
      <c r="F27" s="2">
        <v>4588184</v>
      </c>
      <c r="G27" s="2">
        <v>3916979</v>
      </c>
      <c r="H27" s="2">
        <v>3801129</v>
      </c>
    </row>
    <row r="28" spans="3:8" ht="15.75" customHeight="1" x14ac:dyDescent="0.15">
      <c r="C28" s="2">
        <f t="shared" si="0"/>
        <v>25</v>
      </c>
      <c r="D28" s="2">
        <v>19882835</v>
      </c>
      <c r="E28" s="2">
        <v>9993092</v>
      </c>
      <c r="F28" s="2">
        <v>4687856</v>
      </c>
      <c r="G28" s="2">
        <v>3984670</v>
      </c>
      <c r="H28" s="2">
        <v>3936078</v>
      </c>
    </row>
    <row r="29" spans="3:8" ht="15.75" customHeight="1" x14ac:dyDescent="0.15">
      <c r="C29" s="2">
        <f t="shared" si="0"/>
        <v>26</v>
      </c>
      <c r="D29" s="2">
        <v>19680004</v>
      </c>
      <c r="E29" s="2">
        <v>9547882</v>
      </c>
      <c r="F29" s="2">
        <v>4321252</v>
      </c>
      <c r="G29" s="2">
        <v>3822872</v>
      </c>
      <c r="H29" s="2">
        <v>3750494</v>
      </c>
    </row>
    <row r="30" spans="3:8" ht="15.75" customHeight="1" x14ac:dyDescent="0.15">
      <c r="C30" s="2">
        <f t="shared" si="0"/>
        <v>27</v>
      </c>
      <c r="D30" s="2">
        <v>20987140</v>
      </c>
      <c r="E30" s="2">
        <v>10081149</v>
      </c>
      <c r="F30" s="2">
        <v>4721192</v>
      </c>
      <c r="G30" s="2">
        <v>3935179</v>
      </c>
      <c r="H30" s="2">
        <v>3822224</v>
      </c>
    </row>
    <row r="31" spans="3:8" ht="15.75" customHeight="1" x14ac:dyDescent="0.15">
      <c r="C31" s="2">
        <f t="shared" si="0"/>
        <v>28</v>
      </c>
      <c r="D31" s="2">
        <v>20770031</v>
      </c>
      <c r="E31" s="2">
        <v>10082691</v>
      </c>
      <c r="F31" s="2">
        <v>4921163</v>
      </c>
      <c r="G31" s="2">
        <v>3831495</v>
      </c>
      <c r="H31" s="2">
        <v>3874629</v>
      </c>
    </row>
    <row r="32" spans="3:8" ht="15.75" customHeight="1" x14ac:dyDescent="0.15">
      <c r="C32" s="2">
        <f t="shared" si="0"/>
        <v>29</v>
      </c>
      <c r="D32" s="2">
        <v>20503031</v>
      </c>
      <c r="E32" s="2">
        <v>9900859</v>
      </c>
      <c r="F32" s="2">
        <v>4928748</v>
      </c>
      <c r="G32" s="2">
        <v>3744729</v>
      </c>
      <c r="H32" s="2">
        <v>3782318</v>
      </c>
    </row>
    <row r="33" spans="3:8" ht="15.75" customHeight="1" x14ac:dyDescent="0.15">
      <c r="C33" s="2">
        <f t="shared" si="0"/>
        <v>30</v>
      </c>
      <c r="D33" s="2">
        <v>20309146</v>
      </c>
      <c r="E33" s="2">
        <v>10015176</v>
      </c>
      <c r="F33" s="2">
        <v>4811848</v>
      </c>
      <c r="G33" s="2">
        <v>3894822</v>
      </c>
      <c r="H33" s="2">
        <v>3771776</v>
      </c>
    </row>
    <row r="34" spans="3:8" ht="15.75" customHeight="1" x14ac:dyDescent="0.15">
      <c r="C34" s="1" t="s">
        <v>15</v>
      </c>
      <c r="D34" s="2">
        <f t="shared" ref="D34:H34" si="1">AVERAGE(D4:D33)</f>
        <v>20074662.433333334</v>
      </c>
      <c r="E34" s="2">
        <f t="shared" si="1"/>
        <v>9870537.5999999996</v>
      </c>
      <c r="F34" s="2">
        <f t="shared" si="1"/>
        <v>4624925.666666667</v>
      </c>
      <c r="G34" s="2">
        <f t="shared" si="1"/>
        <v>3924588.5666666669</v>
      </c>
      <c r="H34" s="2">
        <f t="shared" si="1"/>
        <v>3776611.8</v>
      </c>
    </row>
    <row r="35" spans="3:8" ht="15.75" customHeight="1" x14ac:dyDescent="0.15">
      <c r="C35" s="1" t="s">
        <v>16</v>
      </c>
      <c r="D35" s="2">
        <f t="shared" ref="D35:H35" si="2">STDEV(D4:D33)</f>
        <v>609143.02476764971</v>
      </c>
      <c r="E35" s="2">
        <f t="shared" si="2"/>
        <v>289343.25622127607</v>
      </c>
      <c r="F35" s="2">
        <f t="shared" si="2"/>
        <v>349640.59918094351</v>
      </c>
      <c r="G35" s="2">
        <f t="shared" si="2"/>
        <v>144369.60194241945</v>
      </c>
      <c r="H35" s="2">
        <f t="shared" si="2"/>
        <v>89491.734377095927</v>
      </c>
    </row>
    <row r="39" spans="3:8" ht="15.75" customHeight="1" x14ac:dyDescent="0.15">
      <c r="D39" s="1" t="s">
        <v>7</v>
      </c>
      <c r="E39" s="1" t="s">
        <v>8</v>
      </c>
      <c r="F39" s="1" t="s">
        <v>9</v>
      </c>
    </row>
    <row r="40" spans="3:8" ht="15.75" customHeight="1" x14ac:dyDescent="0.15">
      <c r="D40" s="2">
        <f>STDEV(D4:D33)</f>
        <v>609143.02476764971</v>
      </c>
      <c r="E40" s="2">
        <f>AVERAGE(D4:D33)</f>
        <v>20074662.433333334</v>
      </c>
      <c r="F40" s="2">
        <v>1</v>
      </c>
    </row>
    <row r="41" spans="3:8" ht="15.75" customHeight="1" x14ac:dyDescent="0.15">
      <c r="D41" s="2">
        <f>STDEV(E4:E33)</f>
        <v>289343.25622127607</v>
      </c>
      <c r="E41" s="2">
        <f>AVERAGE(E4:E33)</f>
        <v>9870537.5999999996</v>
      </c>
      <c r="F41" s="2">
        <v>2</v>
      </c>
    </row>
    <row r="42" spans="3:8" ht="15.75" customHeight="1" x14ac:dyDescent="0.15">
      <c r="D42" s="2">
        <f>STDEV(F4:F33)</f>
        <v>349640.59918094351</v>
      </c>
      <c r="E42" s="2">
        <f>AVERAGE(F4:F33)</f>
        <v>4624925.666666667</v>
      </c>
      <c r="F42" s="2">
        <v>4</v>
      </c>
    </row>
    <row r="43" spans="3:8" ht="15.75" customHeight="1" x14ac:dyDescent="0.15">
      <c r="D43" s="2">
        <f>STDEV(G4:G33)</f>
        <v>144369.60194241945</v>
      </c>
      <c r="E43" s="2">
        <f>AVERAGE(G4:G33)</f>
        <v>3924588.5666666669</v>
      </c>
      <c r="F43" s="2">
        <v>8</v>
      </c>
    </row>
    <row r="44" spans="3:8" ht="15.75" customHeight="1" x14ac:dyDescent="0.15">
      <c r="D44" s="2">
        <f>STDEV(H4:H33)</f>
        <v>89491.734377095927</v>
      </c>
      <c r="E44" s="2">
        <f>AVERAGE(H4:H33)</f>
        <v>3776611.8</v>
      </c>
      <c r="F44" s="2">
        <v>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3:G44"/>
  <sheetViews>
    <sheetView topLeftCell="A25" workbookViewId="0"/>
  </sheetViews>
  <sheetFormatPr baseColWidth="10" defaultColWidth="12.6640625" defaultRowHeight="15.75" customHeight="1" x14ac:dyDescent="0.15"/>
  <cols>
    <col min="2" max="2" width="17.6640625" customWidth="1"/>
    <col min="3" max="3" width="24.6640625" customWidth="1"/>
    <col min="4" max="4" width="23.6640625" customWidth="1"/>
    <col min="5" max="5" width="26.6640625" customWidth="1"/>
    <col min="6" max="6" width="25.6640625" customWidth="1"/>
    <col min="7" max="7" width="24.1640625" customWidth="1"/>
  </cols>
  <sheetData>
    <row r="3" spans="2:7" ht="15.75" customHeight="1" x14ac:dyDescent="0.15">
      <c r="B3" s="1"/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</row>
    <row r="4" spans="2:7" ht="15.75" customHeight="1" x14ac:dyDescent="0.15">
      <c r="B4" s="2">
        <v>1</v>
      </c>
      <c r="C4" s="2">
        <v>28939967</v>
      </c>
      <c r="D4" s="2">
        <v>14121448</v>
      </c>
      <c r="E4" s="2">
        <v>6495398</v>
      </c>
      <c r="F4" s="2">
        <v>5876299</v>
      </c>
      <c r="G4" s="2">
        <v>5932290</v>
      </c>
    </row>
    <row r="5" spans="2:7" ht="15.75" customHeight="1" x14ac:dyDescent="0.15">
      <c r="B5" s="2">
        <f t="shared" ref="B5:B33" si="0">B4+1</f>
        <v>2</v>
      </c>
      <c r="C5" s="2">
        <v>29365848</v>
      </c>
      <c r="D5" s="2">
        <v>14883951</v>
      </c>
      <c r="E5" s="2">
        <v>6500185</v>
      </c>
      <c r="F5" s="2">
        <v>6129902</v>
      </c>
      <c r="G5" s="2">
        <v>5936688</v>
      </c>
    </row>
    <row r="6" spans="2:7" ht="15.75" customHeight="1" x14ac:dyDescent="0.15">
      <c r="B6" s="2">
        <f t="shared" si="0"/>
        <v>3</v>
      </c>
      <c r="C6" s="2">
        <v>27244940</v>
      </c>
      <c r="D6" s="2">
        <v>14689974</v>
      </c>
      <c r="E6" s="2">
        <v>6832018</v>
      </c>
      <c r="F6" s="2">
        <v>6142689</v>
      </c>
      <c r="G6" s="2">
        <v>6020170</v>
      </c>
    </row>
    <row r="7" spans="2:7" ht="15.75" customHeight="1" x14ac:dyDescent="0.15">
      <c r="B7" s="2">
        <f t="shared" si="0"/>
        <v>4</v>
      </c>
      <c r="C7" s="2">
        <v>30047221</v>
      </c>
      <c r="D7" s="2">
        <v>14795429</v>
      </c>
      <c r="E7" s="2">
        <v>7038723</v>
      </c>
      <c r="F7" s="2">
        <v>6012701</v>
      </c>
      <c r="G7" s="2">
        <v>5843414</v>
      </c>
    </row>
    <row r="8" spans="2:7" ht="15.75" customHeight="1" x14ac:dyDescent="0.15">
      <c r="B8" s="2">
        <f t="shared" si="0"/>
        <v>5</v>
      </c>
      <c r="C8" s="2">
        <v>28320591</v>
      </c>
      <c r="D8" s="2">
        <v>15141911</v>
      </c>
      <c r="E8" s="2">
        <v>7056877</v>
      </c>
      <c r="F8" s="2">
        <v>5919129</v>
      </c>
      <c r="G8" s="2">
        <v>5975561</v>
      </c>
    </row>
    <row r="9" spans="2:7" ht="15.75" customHeight="1" x14ac:dyDescent="0.15">
      <c r="B9" s="2">
        <f t="shared" si="0"/>
        <v>6</v>
      </c>
      <c r="C9" s="2">
        <v>31084313</v>
      </c>
      <c r="D9" s="2">
        <v>14942936</v>
      </c>
      <c r="E9" s="2">
        <v>7167135</v>
      </c>
      <c r="F9" s="2">
        <v>5981658</v>
      </c>
      <c r="G9" s="2">
        <v>5921830</v>
      </c>
    </row>
    <row r="10" spans="2:7" ht="15.75" customHeight="1" x14ac:dyDescent="0.15">
      <c r="B10" s="2">
        <f t="shared" si="0"/>
        <v>7</v>
      </c>
      <c r="C10" s="2">
        <v>29525986</v>
      </c>
      <c r="D10" s="2">
        <v>14413393</v>
      </c>
      <c r="E10" s="2">
        <v>6556170</v>
      </c>
      <c r="F10" s="2">
        <v>5951068</v>
      </c>
      <c r="G10" s="2">
        <v>5841563</v>
      </c>
    </row>
    <row r="11" spans="2:7" ht="15.75" customHeight="1" x14ac:dyDescent="0.15">
      <c r="B11" s="2">
        <f t="shared" si="0"/>
        <v>8</v>
      </c>
      <c r="C11" s="2">
        <v>30159338</v>
      </c>
      <c r="D11" s="2">
        <v>14881194</v>
      </c>
      <c r="E11" s="2">
        <v>6503142</v>
      </c>
      <c r="F11" s="2">
        <v>6096770</v>
      </c>
      <c r="G11" s="2">
        <v>5913191</v>
      </c>
    </row>
    <row r="12" spans="2:7" ht="15.75" customHeight="1" x14ac:dyDescent="0.15">
      <c r="B12" s="2">
        <f t="shared" si="0"/>
        <v>9</v>
      </c>
      <c r="C12" s="2">
        <v>30076636</v>
      </c>
      <c r="D12" s="2">
        <v>15419966</v>
      </c>
      <c r="E12" s="2">
        <v>7318053</v>
      </c>
      <c r="F12" s="2">
        <v>6048131</v>
      </c>
      <c r="G12" s="2">
        <v>6088475</v>
      </c>
    </row>
    <row r="13" spans="2:7" ht="15.75" customHeight="1" x14ac:dyDescent="0.15">
      <c r="B13" s="2">
        <f t="shared" si="0"/>
        <v>10</v>
      </c>
      <c r="C13" s="2">
        <v>26986404</v>
      </c>
      <c r="D13" s="2">
        <v>14950459</v>
      </c>
      <c r="E13" s="2">
        <v>7451416</v>
      </c>
      <c r="F13" s="2">
        <v>6089690</v>
      </c>
      <c r="G13" s="2">
        <v>5630303</v>
      </c>
    </row>
    <row r="14" spans="2:7" ht="15.75" customHeight="1" x14ac:dyDescent="0.15">
      <c r="B14" s="2">
        <f t="shared" si="0"/>
        <v>11</v>
      </c>
      <c r="C14" s="2">
        <v>29946141</v>
      </c>
      <c r="D14" s="2">
        <v>14478040</v>
      </c>
      <c r="E14" s="2">
        <v>6871122</v>
      </c>
      <c r="F14" s="2">
        <v>5887972</v>
      </c>
      <c r="G14" s="2">
        <v>5859138</v>
      </c>
    </row>
    <row r="15" spans="2:7" ht="15.75" customHeight="1" x14ac:dyDescent="0.15">
      <c r="B15" s="2">
        <f t="shared" si="0"/>
        <v>12</v>
      </c>
      <c r="C15" s="2">
        <v>28962057</v>
      </c>
      <c r="D15" s="2">
        <v>15295551</v>
      </c>
      <c r="E15" s="2">
        <v>6930527</v>
      </c>
      <c r="F15" s="2">
        <v>5951492</v>
      </c>
      <c r="G15" s="2">
        <v>5854377</v>
      </c>
    </row>
    <row r="16" spans="2:7" ht="15.75" customHeight="1" x14ac:dyDescent="0.15">
      <c r="B16" s="2">
        <f t="shared" si="0"/>
        <v>13</v>
      </c>
      <c r="C16" s="2">
        <v>29499378</v>
      </c>
      <c r="D16" s="2">
        <v>15295426</v>
      </c>
      <c r="E16" s="2">
        <v>7288765</v>
      </c>
      <c r="F16" s="2">
        <v>6053718</v>
      </c>
      <c r="G16" s="2">
        <v>5767588</v>
      </c>
    </row>
    <row r="17" spans="2:7" ht="15.75" customHeight="1" x14ac:dyDescent="0.15">
      <c r="B17" s="2">
        <f t="shared" si="0"/>
        <v>14</v>
      </c>
      <c r="C17" s="2">
        <v>27441100</v>
      </c>
      <c r="D17" s="2">
        <v>14742921</v>
      </c>
      <c r="E17" s="2">
        <v>7360988</v>
      </c>
      <c r="F17" s="2">
        <v>5849786</v>
      </c>
      <c r="G17" s="2">
        <v>5886149</v>
      </c>
    </row>
    <row r="18" spans="2:7" ht="15.75" customHeight="1" x14ac:dyDescent="0.15">
      <c r="B18" s="2">
        <f t="shared" si="0"/>
        <v>15</v>
      </c>
      <c r="C18" s="2">
        <v>30456668</v>
      </c>
      <c r="D18" s="2">
        <v>14643984</v>
      </c>
      <c r="E18" s="2">
        <v>7096999</v>
      </c>
      <c r="F18" s="2">
        <v>5870239</v>
      </c>
      <c r="G18" s="2">
        <v>5961707</v>
      </c>
    </row>
    <row r="19" spans="2:7" ht="15.75" customHeight="1" x14ac:dyDescent="0.15">
      <c r="B19" s="2">
        <f t="shared" si="0"/>
        <v>16</v>
      </c>
      <c r="C19" s="2">
        <v>31221536</v>
      </c>
      <c r="D19" s="2">
        <v>14799122</v>
      </c>
      <c r="E19" s="2">
        <v>6486059</v>
      </c>
      <c r="F19" s="2">
        <v>5777721</v>
      </c>
      <c r="G19" s="2">
        <v>5701817</v>
      </c>
    </row>
    <row r="20" spans="2:7" ht="15.75" customHeight="1" x14ac:dyDescent="0.15">
      <c r="B20" s="2">
        <f t="shared" si="0"/>
        <v>17</v>
      </c>
      <c r="C20" s="2">
        <v>29908348</v>
      </c>
      <c r="D20" s="2">
        <v>13641503</v>
      </c>
      <c r="E20" s="2">
        <v>7065746</v>
      </c>
      <c r="F20" s="2">
        <v>5748120</v>
      </c>
      <c r="G20" s="2">
        <v>5717979</v>
      </c>
    </row>
    <row r="21" spans="2:7" ht="15.75" customHeight="1" x14ac:dyDescent="0.15">
      <c r="B21" s="2">
        <f t="shared" si="0"/>
        <v>18</v>
      </c>
      <c r="C21" s="2">
        <v>30704616</v>
      </c>
      <c r="D21" s="2">
        <v>15116269</v>
      </c>
      <c r="E21" s="2">
        <v>7348358</v>
      </c>
      <c r="F21" s="2">
        <v>5843581</v>
      </c>
      <c r="G21" s="2">
        <v>5712168</v>
      </c>
    </row>
    <row r="22" spans="2:7" ht="15.75" customHeight="1" x14ac:dyDescent="0.15">
      <c r="B22" s="2">
        <f t="shared" si="0"/>
        <v>19</v>
      </c>
      <c r="C22" s="2">
        <v>29117312</v>
      </c>
      <c r="D22" s="2">
        <v>15126530</v>
      </c>
      <c r="E22" s="2">
        <v>7221679</v>
      </c>
      <c r="F22" s="2">
        <v>6025803</v>
      </c>
      <c r="G22" s="2">
        <v>5989683</v>
      </c>
    </row>
    <row r="23" spans="2:7" ht="15.75" customHeight="1" x14ac:dyDescent="0.15">
      <c r="B23" s="2">
        <f t="shared" si="0"/>
        <v>20</v>
      </c>
      <c r="C23" s="2">
        <v>28689133</v>
      </c>
      <c r="D23" s="2">
        <v>14565187</v>
      </c>
      <c r="E23" s="2">
        <v>6509767</v>
      </c>
      <c r="F23" s="2">
        <v>5891915</v>
      </c>
      <c r="G23" s="2">
        <v>5802822</v>
      </c>
    </row>
    <row r="24" spans="2:7" ht="15.75" customHeight="1" x14ac:dyDescent="0.15">
      <c r="B24" s="2">
        <f t="shared" si="0"/>
        <v>21</v>
      </c>
      <c r="C24" s="2">
        <v>27903279</v>
      </c>
      <c r="D24" s="2">
        <v>14888864</v>
      </c>
      <c r="E24" s="2">
        <v>6911997</v>
      </c>
      <c r="F24" s="2">
        <v>5909749</v>
      </c>
      <c r="G24" s="2">
        <v>5638853</v>
      </c>
    </row>
    <row r="25" spans="2:7" ht="15.75" customHeight="1" x14ac:dyDescent="0.15">
      <c r="B25" s="2">
        <f t="shared" si="0"/>
        <v>22</v>
      </c>
      <c r="C25" s="2">
        <v>28348594</v>
      </c>
      <c r="D25" s="2">
        <v>14684783</v>
      </c>
      <c r="E25" s="2">
        <v>6554014</v>
      </c>
      <c r="F25" s="2">
        <v>5808752</v>
      </c>
      <c r="G25" s="2">
        <v>5995027</v>
      </c>
    </row>
    <row r="26" spans="2:7" ht="15.75" customHeight="1" x14ac:dyDescent="0.15">
      <c r="B26" s="2">
        <f t="shared" si="0"/>
        <v>23</v>
      </c>
      <c r="C26" s="2">
        <v>30627045</v>
      </c>
      <c r="D26" s="2">
        <v>14182280</v>
      </c>
      <c r="E26" s="2">
        <v>7422342</v>
      </c>
      <c r="F26" s="2">
        <v>6057863</v>
      </c>
      <c r="G26" s="2">
        <v>5686544</v>
      </c>
    </row>
    <row r="27" spans="2:7" ht="15.75" customHeight="1" x14ac:dyDescent="0.15">
      <c r="B27" s="2">
        <f t="shared" si="0"/>
        <v>24</v>
      </c>
      <c r="C27" s="2">
        <v>28583274</v>
      </c>
      <c r="D27" s="2">
        <v>14007917</v>
      </c>
      <c r="E27" s="2">
        <v>6576408</v>
      </c>
      <c r="F27" s="2">
        <v>5792776</v>
      </c>
      <c r="G27" s="2">
        <v>5752113</v>
      </c>
    </row>
    <row r="28" spans="2:7" ht="15.75" customHeight="1" x14ac:dyDescent="0.15">
      <c r="B28" s="2">
        <f t="shared" si="0"/>
        <v>25</v>
      </c>
      <c r="C28" s="2">
        <v>28544214</v>
      </c>
      <c r="D28" s="2">
        <v>14975823</v>
      </c>
      <c r="E28" s="2">
        <v>6898683</v>
      </c>
      <c r="F28" s="2">
        <v>6064892</v>
      </c>
      <c r="G28" s="2">
        <v>5924612</v>
      </c>
    </row>
    <row r="29" spans="2:7" ht="15.75" customHeight="1" x14ac:dyDescent="0.15">
      <c r="B29" s="2">
        <f t="shared" si="0"/>
        <v>26</v>
      </c>
      <c r="C29" s="2">
        <v>30262699</v>
      </c>
      <c r="D29" s="2">
        <v>14604142</v>
      </c>
      <c r="E29" s="2">
        <v>6803283</v>
      </c>
      <c r="F29" s="2">
        <v>5733504</v>
      </c>
      <c r="G29" s="2">
        <v>5673882</v>
      </c>
    </row>
    <row r="30" spans="2:7" ht="15.75" customHeight="1" x14ac:dyDescent="0.15">
      <c r="B30" s="2">
        <f t="shared" si="0"/>
        <v>27</v>
      </c>
      <c r="C30" s="2">
        <v>30036951</v>
      </c>
      <c r="D30" s="2">
        <v>15124707</v>
      </c>
      <c r="E30" s="2">
        <v>7809254</v>
      </c>
      <c r="F30" s="2">
        <v>5897931</v>
      </c>
      <c r="G30" s="2">
        <v>5833572</v>
      </c>
    </row>
    <row r="31" spans="2:7" ht="15.75" customHeight="1" x14ac:dyDescent="0.15">
      <c r="B31" s="2">
        <f t="shared" si="0"/>
        <v>28</v>
      </c>
      <c r="C31" s="2">
        <v>28293746</v>
      </c>
      <c r="D31" s="2">
        <v>14832466</v>
      </c>
      <c r="E31" s="2">
        <v>7336051</v>
      </c>
      <c r="F31" s="2">
        <v>5881574</v>
      </c>
      <c r="G31" s="2">
        <v>5931314</v>
      </c>
    </row>
    <row r="32" spans="2:7" ht="15.75" customHeight="1" x14ac:dyDescent="0.15">
      <c r="B32" s="2">
        <f t="shared" si="0"/>
        <v>29</v>
      </c>
      <c r="C32" s="2">
        <v>29885582</v>
      </c>
      <c r="D32" s="2">
        <v>15046060</v>
      </c>
      <c r="E32" s="2">
        <v>6618906</v>
      </c>
      <c r="F32" s="2">
        <v>6035100</v>
      </c>
      <c r="G32" s="2">
        <v>6038804</v>
      </c>
    </row>
    <row r="33" spans="2:7" ht="15.75" customHeight="1" x14ac:dyDescent="0.15">
      <c r="B33" s="2">
        <f t="shared" si="0"/>
        <v>30</v>
      </c>
      <c r="C33" s="2">
        <v>30721600</v>
      </c>
      <c r="D33" s="2">
        <v>14755538</v>
      </c>
      <c r="E33" s="2">
        <v>7135328</v>
      </c>
      <c r="F33" s="2">
        <v>5781887</v>
      </c>
      <c r="G33" s="2">
        <v>5910790</v>
      </c>
    </row>
    <row r="34" spans="2:7" ht="15.75" customHeight="1" x14ac:dyDescent="0.15">
      <c r="B34" s="1" t="s">
        <v>15</v>
      </c>
      <c r="C34" s="2">
        <f t="shared" ref="C34:G34" si="1">AVERAGE(C4:C33)</f>
        <v>29363483.899999999</v>
      </c>
      <c r="D34" s="2">
        <f t="shared" si="1"/>
        <v>14768259.133333333</v>
      </c>
      <c r="E34" s="2">
        <f t="shared" si="1"/>
        <v>6972179.7666666666</v>
      </c>
      <c r="F34" s="2">
        <f t="shared" si="1"/>
        <v>5937080.4000000004</v>
      </c>
      <c r="G34" s="2">
        <f t="shared" si="1"/>
        <v>5858080.7999999998</v>
      </c>
    </row>
    <row r="35" spans="2:7" ht="15.75" customHeight="1" x14ac:dyDescent="0.15">
      <c r="B35" s="1" t="s">
        <v>16</v>
      </c>
      <c r="C35" s="2">
        <f t="shared" ref="C35:G35" si="2">STDEV(C4:C33)</f>
        <v>1145276.0464441373</v>
      </c>
      <c r="D35" s="2">
        <f t="shared" si="2"/>
        <v>400188.58662021463</v>
      </c>
      <c r="E35" s="2">
        <f t="shared" si="2"/>
        <v>360052.61635150545</v>
      </c>
      <c r="F35" s="2">
        <f t="shared" si="2"/>
        <v>118797.94971718533</v>
      </c>
      <c r="G35" s="2">
        <f t="shared" si="2"/>
        <v>125530.82098347883</v>
      </c>
    </row>
    <row r="39" spans="2:7" ht="15.75" customHeight="1" x14ac:dyDescent="0.15">
      <c r="C39" s="1" t="s">
        <v>7</v>
      </c>
      <c r="D39" s="1" t="s">
        <v>8</v>
      </c>
      <c r="E39" s="1" t="s">
        <v>9</v>
      </c>
    </row>
    <row r="40" spans="2:7" ht="15.75" customHeight="1" x14ac:dyDescent="0.15">
      <c r="C40" s="2">
        <f>STDEV(C4:C33)</f>
        <v>1145276.0464441373</v>
      </c>
      <c r="D40" s="2">
        <f>AVERAGE(C4:C33)</f>
        <v>29363483.899999999</v>
      </c>
      <c r="E40" s="2">
        <v>1</v>
      </c>
    </row>
    <row r="41" spans="2:7" ht="15.75" customHeight="1" x14ac:dyDescent="0.15">
      <c r="C41" s="2">
        <f>STDEV(D4:D33)</f>
        <v>400188.58662021463</v>
      </c>
      <c r="D41" s="2">
        <f>AVERAGE(D4:D33)</f>
        <v>14768259.133333333</v>
      </c>
      <c r="E41" s="2">
        <v>2</v>
      </c>
    </row>
    <row r="42" spans="2:7" ht="15.75" customHeight="1" x14ac:dyDescent="0.15">
      <c r="C42" s="2">
        <f>STDEV(E4:E33)</f>
        <v>360052.61635150545</v>
      </c>
      <c r="D42" s="2">
        <f>AVERAGE(E4:E33)</f>
        <v>6972179.7666666666</v>
      </c>
      <c r="E42" s="2">
        <v>4</v>
      </c>
    </row>
    <row r="43" spans="2:7" ht="15.75" customHeight="1" x14ac:dyDescent="0.15">
      <c r="C43" s="2">
        <f>STDEV(F4:F33)</f>
        <v>118797.94971718533</v>
      </c>
      <c r="D43" s="2">
        <f>AVERAGE(F4:F33)</f>
        <v>5937080.4000000004</v>
      </c>
      <c r="E43" s="2">
        <v>8</v>
      </c>
    </row>
    <row r="44" spans="2:7" ht="15.75" customHeight="1" x14ac:dyDescent="0.15">
      <c r="C44" s="2">
        <f>STDEV(G4:G33)</f>
        <v>125530.82098347883</v>
      </c>
      <c r="D44" s="2">
        <f>AVERAGE(G4:G33)</f>
        <v>5858080.7999999998</v>
      </c>
      <c r="E44" s="2">
        <v>12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C2:H42"/>
  <sheetViews>
    <sheetView workbookViewId="0"/>
  </sheetViews>
  <sheetFormatPr baseColWidth="10" defaultColWidth="12.6640625" defaultRowHeight="15.75" customHeight="1" x14ac:dyDescent="0.15"/>
  <cols>
    <col min="3" max="3" width="13.6640625" customWidth="1"/>
    <col min="4" max="4" width="24.6640625" customWidth="1"/>
    <col min="5" max="5" width="22.33203125" customWidth="1"/>
    <col min="6" max="6" width="24.1640625" customWidth="1"/>
    <col min="7" max="7" width="22.6640625" customWidth="1"/>
    <col min="8" max="8" width="24" customWidth="1"/>
  </cols>
  <sheetData>
    <row r="2" spans="3:8" ht="15.75" customHeight="1" x14ac:dyDescent="0.15">
      <c r="C2" s="1"/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</row>
    <row r="3" spans="3:8" ht="15.75" customHeight="1" x14ac:dyDescent="0.15">
      <c r="C3" s="2">
        <v>1</v>
      </c>
      <c r="D3" s="2">
        <v>48920100</v>
      </c>
      <c r="E3" s="2">
        <v>25221495</v>
      </c>
      <c r="F3" s="2">
        <v>12777065</v>
      </c>
      <c r="G3" s="2">
        <v>11286089</v>
      </c>
      <c r="H3" s="2">
        <v>11407708</v>
      </c>
    </row>
    <row r="4" spans="3:8" ht="15.75" customHeight="1" x14ac:dyDescent="0.15">
      <c r="C4" s="2">
        <f t="shared" ref="C4:C32" si="0">C3+1</f>
        <v>2</v>
      </c>
      <c r="D4" s="2">
        <v>46951432</v>
      </c>
      <c r="E4" s="2">
        <v>25104514</v>
      </c>
      <c r="F4" s="2">
        <v>12464258</v>
      </c>
      <c r="G4" s="2">
        <v>11361039</v>
      </c>
      <c r="H4" s="2">
        <v>11292084</v>
      </c>
    </row>
    <row r="5" spans="3:8" ht="15.75" customHeight="1" x14ac:dyDescent="0.15">
      <c r="C5" s="2">
        <f t="shared" si="0"/>
        <v>3</v>
      </c>
      <c r="D5" s="2">
        <v>53023212</v>
      </c>
      <c r="E5" s="2">
        <v>23597862</v>
      </c>
      <c r="F5" s="2">
        <v>11670126</v>
      </c>
      <c r="G5" s="2">
        <v>11562385</v>
      </c>
      <c r="H5" s="2">
        <v>11223997</v>
      </c>
    </row>
    <row r="6" spans="3:8" ht="15.75" customHeight="1" x14ac:dyDescent="0.15">
      <c r="C6" s="2">
        <f t="shared" si="0"/>
        <v>4</v>
      </c>
      <c r="D6" s="2">
        <v>49502980</v>
      </c>
      <c r="E6" s="2">
        <v>25617708</v>
      </c>
      <c r="F6" s="2">
        <v>12043778</v>
      </c>
      <c r="G6" s="2">
        <v>11705004</v>
      </c>
      <c r="H6" s="2">
        <v>10765608</v>
      </c>
    </row>
    <row r="7" spans="3:8" ht="15.75" customHeight="1" x14ac:dyDescent="0.15">
      <c r="C7" s="2">
        <f t="shared" si="0"/>
        <v>5</v>
      </c>
      <c r="D7" s="2">
        <v>49621760</v>
      </c>
      <c r="E7" s="2">
        <v>24972335</v>
      </c>
      <c r="F7" s="2">
        <v>11810275</v>
      </c>
      <c r="G7" s="2">
        <v>11942542</v>
      </c>
      <c r="H7" s="2">
        <v>11725167</v>
      </c>
    </row>
    <row r="8" spans="3:8" ht="15.75" customHeight="1" x14ac:dyDescent="0.15">
      <c r="C8" s="2">
        <f t="shared" si="0"/>
        <v>6</v>
      </c>
      <c r="D8" s="2">
        <v>49787282</v>
      </c>
      <c r="E8" s="2">
        <v>24519325</v>
      </c>
      <c r="F8" s="2">
        <v>11687697</v>
      </c>
      <c r="G8" s="2">
        <v>12034555</v>
      </c>
      <c r="H8" s="2">
        <v>11859103</v>
      </c>
    </row>
    <row r="9" spans="3:8" ht="15.75" customHeight="1" x14ac:dyDescent="0.15">
      <c r="C9" s="2">
        <f t="shared" si="0"/>
        <v>7</v>
      </c>
      <c r="D9" s="2">
        <v>45720201</v>
      </c>
      <c r="E9" s="2">
        <v>23308467</v>
      </c>
      <c r="F9" s="2">
        <v>12406341</v>
      </c>
      <c r="G9" s="2">
        <v>11095596</v>
      </c>
      <c r="H9" s="2">
        <v>11617204</v>
      </c>
    </row>
    <row r="10" spans="3:8" ht="15.75" customHeight="1" x14ac:dyDescent="0.15">
      <c r="C10" s="2">
        <f t="shared" si="0"/>
        <v>8</v>
      </c>
      <c r="D10" s="2">
        <v>48129454</v>
      </c>
      <c r="E10" s="2">
        <v>22791820</v>
      </c>
      <c r="F10" s="2">
        <v>13376823</v>
      </c>
      <c r="G10" s="2">
        <v>11765577</v>
      </c>
      <c r="H10" s="2">
        <v>11969206</v>
      </c>
    </row>
    <row r="11" spans="3:8" ht="15.75" customHeight="1" x14ac:dyDescent="0.15">
      <c r="C11" s="2">
        <f t="shared" si="0"/>
        <v>9</v>
      </c>
      <c r="D11" s="2">
        <v>47132719</v>
      </c>
      <c r="E11" s="2">
        <v>24155653</v>
      </c>
      <c r="F11" s="2">
        <v>12585903</v>
      </c>
      <c r="G11" s="2">
        <v>12212228</v>
      </c>
      <c r="H11" s="2">
        <v>11992734</v>
      </c>
    </row>
    <row r="12" spans="3:8" ht="15.75" customHeight="1" x14ac:dyDescent="0.15">
      <c r="C12" s="2">
        <f t="shared" si="0"/>
        <v>10</v>
      </c>
      <c r="D12" s="2">
        <v>49983655</v>
      </c>
      <c r="E12" s="2">
        <v>25290825</v>
      </c>
      <c r="F12" s="2">
        <v>12914929</v>
      </c>
      <c r="G12" s="2">
        <v>11709288</v>
      </c>
      <c r="H12" s="2">
        <v>11676427</v>
      </c>
    </row>
    <row r="13" spans="3:8" ht="15.75" customHeight="1" x14ac:dyDescent="0.15">
      <c r="C13" s="2">
        <f t="shared" si="0"/>
        <v>11</v>
      </c>
      <c r="D13" s="2">
        <v>47310570</v>
      </c>
      <c r="E13" s="2">
        <v>25586191</v>
      </c>
      <c r="F13" s="2">
        <v>11773616</v>
      </c>
      <c r="G13" s="2">
        <v>12031741</v>
      </c>
      <c r="H13" s="2">
        <v>11287232</v>
      </c>
    </row>
    <row r="14" spans="3:8" ht="15.75" customHeight="1" x14ac:dyDescent="0.15">
      <c r="C14" s="2">
        <f t="shared" si="0"/>
        <v>12</v>
      </c>
      <c r="D14" s="2">
        <v>46801413</v>
      </c>
      <c r="E14" s="2">
        <v>26092985</v>
      </c>
      <c r="F14" s="2">
        <v>12391436</v>
      </c>
      <c r="G14" s="2">
        <v>12050975</v>
      </c>
      <c r="H14" s="2">
        <v>11250935</v>
      </c>
    </row>
    <row r="15" spans="3:8" ht="15.75" customHeight="1" x14ac:dyDescent="0.15">
      <c r="C15" s="2">
        <f t="shared" si="0"/>
        <v>13</v>
      </c>
      <c r="D15" s="2">
        <v>48322071</v>
      </c>
      <c r="E15" s="2">
        <v>25279651</v>
      </c>
      <c r="F15" s="2">
        <v>12342819</v>
      </c>
      <c r="G15" s="2">
        <v>12272291</v>
      </c>
      <c r="H15" s="2">
        <v>11705796</v>
      </c>
    </row>
    <row r="16" spans="3:8" ht="15.75" customHeight="1" x14ac:dyDescent="0.15">
      <c r="C16" s="2">
        <f t="shared" si="0"/>
        <v>14</v>
      </c>
      <c r="D16" s="2">
        <v>50318599</v>
      </c>
      <c r="E16" s="2">
        <v>25545978</v>
      </c>
      <c r="F16" s="2">
        <v>12119594</v>
      </c>
      <c r="G16" s="2">
        <v>12021806</v>
      </c>
      <c r="H16" s="2">
        <v>11664869</v>
      </c>
    </row>
    <row r="17" spans="3:8" ht="15.75" customHeight="1" x14ac:dyDescent="0.15">
      <c r="C17" s="2">
        <f t="shared" si="0"/>
        <v>15</v>
      </c>
      <c r="D17" s="2">
        <v>51168146</v>
      </c>
      <c r="E17" s="2">
        <v>24288917</v>
      </c>
      <c r="F17" s="2">
        <v>11966061</v>
      </c>
      <c r="G17" s="2">
        <v>11677027</v>
      </c>
      <c r="H17" s="2">
        <v>11370785</v>
      </c>
    </row>
    <row r="18" spans="3:8" ht="15.75" customHeight="1" x14ac:dyDescent="0.15">
      <c r="C18" s="2">
        <f t="shared" si="0"/>
        <v>16</v>
      </c>
      <c r="D18" s="2">
        <v>48057293</v>
      </c>
      <c r="E18" s="2">
        <v>25604589</v>
      </c>
      <c r="F18" s="2">
        <v>11920552</v>
      </c>
      <c r="G18" s="2">
        <v>11415773</v>
      </c>
      <c r="H18" s="2">
        <v>11747841</v>
      </c>
    </row>
    <row r="19" spans="3:8" ht="15.75" customHeight="1" x14ac:dyDescent="0.15">
      <c r="C19" s="2">
        <f t="shared" si="0"/>
        <v>17</v>
      </c>
      <c r="D19" s="2">
        <v>50469159</v>
      </c>
      <c r="E19" s="2">
        <v>25970182</v>
      </c>
      <c r="F19" s="2">
        <v>12520590</v>
      </c>
      <c r="G19" s="2">
        <v>11885075</v>
      </c>
      <c r="H19" s="2">
        <v>11815878</v>
      </c>
    </row>
    <row r="20" spans="3:8" ht="15.75" customHeight="1" x14ac:dyDescent="0.15">
      <c r="C20" s="2">
        <f t="shared" si="0"/>
        <v>18</v>
      </c>
      <c r="D20" s="2">
        <v>52162389</v>
      </c>
      <c r="E20" s="2">
        <v>23003876</v>
      </c>
      <c r="F20" s="2">
        <v>12426544</v>
      </c>
      <c r="G20" s="2">
        <v>11227964</v>
      </c>
      <c r="H20" s="2">
        <v>11605738</v>
      </c>
    </row>
    <row r="21" spans="3:8" ht="15.75" customHeight="1" x14ac:dyDescent="0.15">
      <c r="C21" s="2">
        <f t="shared" si="0"/>
        <v>19</v>
      </c>
      <c r="D21" s="2">
        <v>48371775</v>
      </c>
      <c r="E21" s="2">
        <v>25684866</v>
      </c>
      <c r="F21" s="2">
        <v>12027960</v>
      </c>
      <c r="G21" s="2">
        <v>11532570</v>
      </c>
      <c r="H21" s="2">
        <v>10669249</v>
      </c>
    </row>
    <row r="22" spans="3:8" ht="15.75" customHeight="1" x14ac:dyDescent="0.15">
      <c r="C22" s="2">
        <f t="shared" si="0"/>
        <v>20</v>
      </c>
      <c r="D22" s="2">
        <v>47780616</v>
      </c>
      <c r="E22" s="2">
        <v>25215779</v>
      </c>
      <c r="F22" s="2">
        <v>12388425</v>
      </c>
      <c r="G22" s="2">
        <v>11922868</v>
      </c>
      <c r="H22" s="2">
        <v>11425182</v>
      </c>
    </row>
    <row r="23" spans="3:8" ht="15.75" customHeight="1" x14ac:dyDescent="0.15">
      <c r="C23" s="2">
        <f t="shared" si="0"/>
        <v>21</v>
      </c>
      <c r="D23" s="2">
        <v>48000447</v>
      </c>
      <c r="E23" s="2">
        <v>24417038</v>
      </c>
      <c r="F23" s="2">
        <v>11865093</v>
      </c>
      <c r="G23" s="2">
        <v>11365006</v>
      </c>
      <c r="H23" s="2">
        <v>11728672</v>
      </c>
    </row>
    <row r="24" spans="3:8" ht="15.75" customHeight="1" x14ac:dyDescent="0.15">
      <c r="C24" s="2">
        <f t="shared" si="0"/>
        <v>22</v>
      </c>
      <c r="D24" s="2">
        <v>49109386</v>
      </c>
      <c r="E24" s="2">
        <v>25361509</v>
      </c>
      <c r="F24" s="2">
        <v>11539217</v>
      </c>
      <c r="G24" s="2">
        <v>11913463</v>
      </c>
      <c r="H24" s="2">
        <v>11886851</v>
      </c>
    </row>
    <row r="25" spans="3:8" ht="15.75" customHeight="1" x14ac:dyDescent="0.15">
      <c r="C25" s="2">
        <f t="shared" si="0"/>
        <v>23</v>
      </c>
      <c r="D25" s="2">
        <v>45081326</v>
      </c>
      <c r="E25" s="2">
        <v>24143170</v>
      </c>
      <c r="F25" s="2">
        <v>12766359</v>
      </c>
      <c r="G25" s="2">
        <v>11613516</v>
      </c>
      <c r="H25" s="2">
        <v>12091552</v>
      </c>
    </row>
    <row r="26" spans="3:8" ht="15.75" customHeight="1" x14ac:dyDescent="0.15">
      <c r="C26" s="2">
        <f t="shared" si="0"/>
        <v>24</v>
      </c>
      <c r="D26" s="2">
        <v>51434704</v>
      </c>
      <c r="E26" s="2">
        <v>24665198</v>
      </c>
      <c r="F26" s="2">
        <v>12117549</v>
      </c>
      <c r="G26" s="2">
        <v>11921849</v>
      </c>
      <c r="H26" s="2">
        <v>11916301</v>
      </c>
    </row>
    <row r="27" spans="3:8" ht="15.75" customHeight="1" x14ac:dyDescent="0.15">
      <c r="C27" s="2">
        <f t="shared" si="0"/>
        <v>25</v>
      </c>
      <c r="D27" s="2">
        <v>49461834</v>
      </c>
      <c r="E27" s="2">
        <v>24208787</v>
      </c>
      <c r="F27" s="2">
        <v>12458269</v>
      </c>
      <c r="G27" s="2">
        <v>11820563</v>
      </c>
      <c r="H27" s="2">
        <v>11615222</v>
      </c>
    </row>
    <row r="28" spans="3:8" ht="15.75" customHeight="1" x14ac:dyDescent="0.15">
      <c r="C28" s="2">
        <f t="shared" si="0"/>
        <v>26</v>
      </c>
      <c r="D28" s="2">
        <v>49662217</v>
      </c>
      <c r="E28" s="2">
        <v>25075182</v>
      </c>
      <c r="F28" s="2">
        <v>12372276</v>
      </c>
      <c r="G28" s="2">
        <v>11304674</v>
      </c>
      <c r="H28" s="2">
        <v>11807079</v>
      </c>
    </row>
    <row r="29" spans="3:8" ht="15.75" customHeight="1" x14ac:dyDescent="0.15">
      <c r="C29" s="2">
        <f t="shared" si="0"/>
        <v>27</v>
      </c>
      <c r="D29" s="2">
        <v>49292954</v>
      </c>
      <c r="E29" s="2">
        <v>23846467</v>
      </c>
      <c r="F29" s="2">
        <v>12016580</v>
      </c>
      <c r="G29" s="2">
        <v>11437796</v>
      </c>
      <c r="H29" s="2">
        <v>11705192</v>
      </c>
    </row>
    <row r="30" spans="3:8" ht="15.75" customHeight="1" x14ac:dyDescent="0.15">
      <c r="C30" s="2">
        <f t="shared" si="0"/>
        <v>28</v>
      </c>
      <c r="D30" s="2">
        <v>46930578</v>
      </c>
      <c r="E30" s="2">
        <v>25553676</v>
      </c>
      <c r="F30" s="2">
        <v>12833852</v>
      </c>
      <c r="G30" s="2">
        <v>11005490</v>
      </c>
      <c r="H30" s="2">
        <v>11767790</v>
      </c>
    </row>
    <row r="31" spans="3:8" ht="15.75" customHeight="1" x14ac:dyDescent="0.15">
      <c r="C31" s="2">
        <f t="shared" si="0"/>
        <v>29</v>
      </c>
      <c r="D31" s="2">
        <v>48284689</v>
      </c>
      <c r="E31" s="2">
        <v>24615799</v>
      </c>
      <c r="F31" s="2">
        <v>13077337</v>
      </c>
      <c r="G31" s="2">
        <v>11838190</v>
      </c>
      <c r="H31" s="2">
        <v>12412742</v>
      </c>
    </row>
    <row r="32" spans="3:8" ht="15.75" customHeight="1" x14ac:dyDescent="0.15">
      <c r="C32" s="2">
        <f t="shared" si="0"/>
        <v>30</v>
      </c>
      <c r="D32" s="2">
        <v>51279704</v>
      </c>
      <c r="E32" s="2">
        <v>23766097</v>
      </c>
      <c r="F32" s="2">
        <v>12223043</v>
      </c>
      <c r="G32" s="2">
        <v>11069524</v>
      </c>
      <c r="H32" s="2">
        <v>10977998</v>
      </c>
    </row>
    <row r="33" spans="3:8" ht="15.75" customHeight="1" x14ac:dyDescent="0.15">
      <c r="C33" s="1" t="s">
        <v>15</v>
      </c>
      <c r="D33" s="2">
        <f t="shared" ref="D33:H33" si="1">AVERAGE(D3:D32)</f>
        <v>48935755.5</v>
      </c>
      <c r="E33" s="2">
        <f t="shared" si="1"/>
        <v>24750198.033333335</v>
      </c>
      <c r="F33" s="2">
        <f t="shared" si="1"/>
        <v>12296145.566666666</v>
      </c>
      <c r="G33" s="2">
        <f t="shared" si="1"/>
        <v>11666748.800000001</v>
      </c>
      <c r="H33" s="2">
        <f t="shared" si="1"/>
        <v>11599404.733333332</v>
      </c>
    </row>
    <row r="34" spans="3:8" ht="15.75" customHeight="1" x14ac:dyDescent="0.15">
      <c r="C34" s="1" t="s">
        <v>16</v>
      </c>
      <c r="D34" s="2">
        <f>STDEV(D3,D32)</f>
        <v>1668491.9893149023</v>
      </c>
      <c r="E34" s="2">
        <f t="shared" ref="E34:H34" si="2">STDEV(E3:E32)</f>
        <v>886391.4926004851</v>
      </c>
      <c r="F34" s="2">
        <f t="shared" si="2"/>
        <v>443664.1459586515</v>
      </c>
      <c r="G34" s="2">
        <f t="shared" si="2"/>
        <v>347812.08363369695</v>
      </c>
      <c r="H34" s="2">
        <f t="shared" si="2"/>
        <v>379295.9817094836</v>
      </c>
    </row>
    <row r="37" spans="3:8" ht="15.75" customHeight="1" x14ac:dyDescent="0.15">
      <c r="D37" s="1" t="s">
        <v>7</v>
      </c>
      <c r="E37" s="1" t="s">
        <v>8</v>
      </c>
      <c r="F37" s="1" t="s">
        <v>9</v>
      </c>
    </row>
    <row r="38" spans="3:8" ht="15.75" customHeight="1" x14ac:dyDescent="0.15">
      <c r="D38" s="2">
        <f>STDEV(D3,D32)</f>
        <v>1668491.9893149023</v>
      </c>
      <c r="E38" s="2">
        <f>AVERAGE(D3:D32)</f>
        <v>48935755.5</v>
      </c>
      <c r="F38" s="2">
        <v>1</v>
      </c>
    </row>
    <row r="39" spans="3:8" ht="15.75" customHeight="1" x14ac:dyDescent="0.15">
      <c r="D39" s="2">
        <f>STDEV(E3:E32)</f>
        <v>886391.4926004851</v>
      </c>
      <c r="E39" s="2">
        <f>AVERAGE(E3:E32)</f>
        <v>24750198.033333335</v>
      </c>
      <c r="F39" s="2">
        <v>2</v>
      </c>
    </row>
    <row r="40" spans="3:8" ht="15.75" customHeight="1" x14ac:dyDescent="0.15">
      <c r="D40" s="2">
        <f>STDEV(F3:F32)</f>
        <v>443664.1459586515</v>
      </c>
      <c r="E40" s="2">
        <f>AVERAGE(F3:F32)</f>
        <v>12296145.566666666</v>
      </c>
      <c r="F40" s="2">
        <v>4</v>
      </c>
    </row>
    <row r="41" spans="3:8" ht="15.75" customHeight="1" x14ac:dyDescent="0.15">
      <c r="D41" s="2">
        <f>STDEV(G3:G32)</f>
        <v>347812.08363369695</v>
      </c>
      <c r="E41" s="2">
        <f>AVERAGE(G3:G32)</f>
        <v>11666748.800000001</v>
      </c>
      <c r="F41" s="2">
        <v>8</v>
      </c>
    </row>
    <row r="42" spans="3:8" ht="15.75" customHeight="1" x14ac:dyDescent="0.15">
      <c r="D42" s="2">
        <f>STDEV(H3:H32)</f>
        <v>379295.9817094836</v>
      </c>
      <c r="E42" s="2">
        <f>AVERAGE(H3:H32)</f>
        <v>11599404.733333332</v>
      </c>
      <c r="F42" s="2">
        <v>12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C2:H41"/>
  <sheetViews>
    <sheetView workbookViewId="0"/>
  </sheetViews>
  <sheetFormatPr baseColWidth="10" defaultColWidth="12.6640625" defaultRowHeight="15.75" customHeight="1" x14ac:dyDescent="0.15"/>
  <cols>
    <col min="4" max="4" width="23.83203125" customWidth="1"/>
    <col min="5" max="5" width="23.6640625" customWidth="1"/>
    <col min="6" max="7" width="24.1640625" customWidth="1"/>
    <col min="8" max="8" width="23.5" customWidth="1"/>
  </cols>
  <sheetData>
    <row r="2" spans="3:8" ht="15.75" customHeight="1" x14ac:dyDescent="0.15">
      <c r="C2" s="1"/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 spans="3:8" ht="15.75" customHeight="1" x14ac:dyDescent="0.15">
      <c r="C3" s="2">
        <v>1</v>
      </c>
      <c r="D3" s="2">
        <v>481234</v>
      </c>
      <c r="E3" s="2">
        <v>253209</v>
      </c>
      <c r="F3" s="2">
        <v>143198</v>
      </c>
      <c r="G3" s="2">
        <v>126625</v>
      </c>
      <c r="H3" s="2">
        <v>128015</v>
      </c>
    </row>
    <row r="4" spans="3:8" ht="15.75" customHeight="1" x14ac:dyDescent="0.15">
      <c r="C4" s="2">
        <f t="shared" ref="C4:C32" si="0">C3+1</f>
        <v>2</v>
      </c>
      <c r="D4" s="2">
        <v>474018</v>
      </c>
      <c r="E4" s="2">
        <v>244686</v>
      </c>
      <c r="F4" s="2">
        <v>126879</v>
      </c>
      <c r="G4" s="2">
        <v>125084</v>
      </c>
      <c r="H4" s="2">
        <v>123155</v>
      </c>
    </row>
    <row r="5" spans="3:8" ht="15.75" customHeight="1" x14ac:dyDescent="0.15">
      <c r="C5" s="2">
        <f t="shared" si="0"/>
        <v>3</v>
      </c>
      <c r="D5" s="2">
        <v>484214</v>
      </c>
      <c r="E5" s="2">
        <v>281050</v>
      </c>
      <c r="F5" s="2">
        <v>125599</v>
      </c>
      <c r="G5" s="2">
        <v>124843</v>
      </c>
      <c r="H5" s="2">
        <v>131659</v>
      </c>
    </row>
    <row r="6" spans="3:8" ht="15.75" customHeight="1" x14ac:dyDescent="0.15">
      <c r="C6" s="2">
        <f t="shared" si="0"/>
        <v>4</v>
      </c>
      <c r="D6" s="2">
        <v>489480</v>
      </c>
      <c r="E6" s="2">
        <v>247935</v>
      </c>
      <c r="F6" s="2">
        <v>144890</v>
      </c>
      <c r="G6" s="2">
        <v>124465</v>
      </c>
      <c r="H6" s="2">
        <v>124875</v>
      </c>
    </row>
    <row r="7" spans="3:8" ht="15.75" customHeight="1" x14ac:dyDescent="0.15">
      <c r="C7" s="2">
        <f t="shared" si="0"/>
        <v>5</v>
      </c>
      <c r="D7" s="2">
        <v>382747</v>
      </c>
      <c r="E7" s="2">
        <v>250891</v>
      </c>
      <c r="F7" s="2">
        <v>126269</v>
      </c>
      <c r="G7" s="2">
        <v>123312</v>
      </c>
      <c r="H7" s="2">
        <v>120940</v>
      </c>
    </row>
    <row r="8" spans="3:8" ht="15.75" customHeight="1" x14ac:dyDescent="0.15">
      <c r="C8" s="2">
        <f t="shared" si="0"/>
        <v>6</v>
      </c>
      <c r="D8" s="2">
        <v>500404</v>
      </c>
      <c r="E8" s="2">
        <v>251663</v>
      </c>
      <c r="F8" s="2">
        <v>128160</v>
      </c>
      <c r="G8" s="2">
        <v>121577</v>
      </c>
      <c r="H8" s="2">
        <v>120863</v>
      </c>
    </row>
    <row r="9" spans="3:8" ht="15.75" customHeight="1" x14ac:dyDescent="0.15">
      <c r="C9" s="2">
        <f t="shared" si="0"/>
        <v>7</v>
      </c>
      <c r="D9" s="2">
        <v>474076</v>
      </c>
      <c r="E9" s="2">
        <v>258377</v>
      </c>
      <c r="F9" s="2">
        <v>127105</v>
      </c>
      <c r="G9" s="2">
        <v>128514</v>
      </c>
      <c r="H9" s="2">
        <v>119031</v>
      </c>
    </row>
    <row r="10" spans="3:8" ht="15.75" customHeight="1" x14ac:dyDescent="0.15">
      <c r="C10" s="2">
        <f t="shared" si="0"/>
        <v>8</v>
      </c>
      <c r="D10" s="2">
        <v>486541</v>
      </c>
      <c r="E10" s="2">
        <v>241024</v>
      </c>
      <c r="F10" s="2">
        <v>130654</v>
      </c>
      <c r="G10" s="2">
        <v>137174</v>
      </c>
      <c r="H10" s="2">
        <v>130288</v>
      </c>
    </row>
    <row r="11" spans="3:8" ht="15.75" customHeight="1" x14ac:dyDescent="0.15">
      <c r="C11" s="2">
        <f t="shared" si="0"/>
        <v>9</v>
      </c>
      <c r="D11" s="2">
        <v>481181</v>
      </c>
      <c r="E11" s="2">
        <v>245997</v>
      </c>
      <c r="F11" s="2">
        <v>131708</v>
      </c>
      <c r="G11" s="2">
        <v>124848</v>
      </c>
      <c r="H11" s="2">
        <v>131617</v>
      </c>
    </row>
    <row r="12" spans="3:8" ht="15.75" customHeight="1" x14ac:dyDescent="0.15">
      <c r="C12" s="2">
        <f t="shared" si="0"/>
        <v>10</v>
      </c>
      <c r="D12" s="2">
        <v>514472</v>
      </c>
      <c r="E12" s="2">
        <v>246733</v>
      </c>
      <c r="F12" s="2">
        <v>121220</v>
      </c>
      <c r="G12" s="2">
        <v>127054</v>
      </c>
      <c r="H12" s="2">
        <v>125390</v>
      </c>
    </row>
    <row r="13" spans="3:8" ht="15.75" customHeight="1" x14ac:dyDescent="0.15">
      <c r="C13" s="2">
        <f t="shared" si="0"/>
        <v>11</v>
      </c>
      <c r="D13" s="2">
        <v>580927</v>
      </c>
      <c r="E13" s="2">
        <v>243489</v>
      </c>
      <c r="F13" s="2">
        <v>122343</v>
      </c>
      <c r="G13" s="2">
        <v>126737</v>
      </c>
      <c r="H13" s="2">
        <v>126476</v>
      </c>
    </row>
    <row r="14" spans="3:8" ht="15.75" customHeight="1" x14ac:dyDescent="0.15">
      <c r="C14" s="2">
        <f t="shared" si="0"/>
        <v>12</v>
      </c>
      <c r="D14" s="2">
        <v>490280</v>
      </c>
      <c r="E14" s="2">
        <v>253252</v>
      </c>
      <c r="F14" s="2">
        <v>124887</v>
      </c>
      <c r="G14" s="2">
        <v>125723</v>
      </c>
      <c r="H14" s="2">
        <v>122236</v>
      </c>
    </row>
    <row r="15" spans="3:8" ht="15.75" customHeight="1" x14ac:dyDescent="0.15">
      <c r="C15" s="2">
        <f t="shared" si="0"/>
        <v>13</v>
      </c>
      <c r="D15" s="2">
        <v>547122</v>
      </c>
      <c r="E15" s="2">
        <v>244494</v>
      </c>
      <c r="F15" s="2">
        <v>132679</v>
      </c>
      <c r="G15" s="2">
        <v>119234</v>
      </c>
      <c r="H15" s="2">
        <v>119140</v>
      </c>
    </row>
    <row r="16" spans="3:8" ht="15.75" customHeight="1" x14ac:dyDescent="0.15">
      <c r="C16" s="2">
        <f t="shared" si="0"/>
        <v>14</v>
      </c>
      <c r="D16" s="2">
        <v>476485</v>
      </c>
      <c r="E16" s="2">
        <v>256317</v>
      </c>
      <c r="F16" s="2">
        <v>125114</v>
      </c>
      <c r="G16" s="2">
        <v>123187</v>
      </c>
      <c r="H16" s="2">
        <v>122423</v>
      </c>
    </row>
    <row r="17" spans="3:8" ht="15.75" customHeight="1" x14ac:dyDescent="0.15">
      <c r="C17" s="2">
        <f t="shared" si="0"/>
        <v>15</v>
      </c>
      <c r="D17" s="2">
        <v>482860</v>
      </c>
      <c r="E17" s="2">
        <v>246453</v>
      </c>
      <c r="F17" s="2">
        <v>122624</v>
      </c>
      <c r="G17" s="2">
        <v>122396</v>
      </c>
      <c r="H17" s="2">
        <v>119751</v>
      </c>
    </row>
    <row r="18" spans="3:8" ht="15.75" customHeight="1" x14ac:dyDescent="0.15">
      <c r="C18" s="2">
        <f t="shared" si="0"/>
        <v>16</v>
      </c>
      <c r="D18" s="2">
        <v>488684</v>
      </c>
      <c r="E18" s="2">
        <v>243676</v>
      </c>
      <c r="F18" s="2">
        <v>125781</v>
      </c>
      <c r="G18" s="2">
        <v>127429</v>
      </c>
      <c r="H18" s="2">
        <v>121541</v>
      </c>
    </row>
    <row r="19" spans="3:8" ht="15.75" customHeight="1" x14ac:dyDescent="0.15">
      <c r="C19" s="2">
        <f t="shared" si="0"/>
        <v>17</v>
      </c>
      <c r="D19" s="2">
        <v>479620</v>
      </c>
      <c r="E19" s="2">
        <v>244934</v>
      </c>
      <c r="F19" s="2">
        <v>128149</v>
      </c>
      <c r="G19" s="2">
        <v>126262</v>
      </c>
      <c r="H19" s="2">
        <v>119628</v>
      </c>
    </row>
    <row r="20" spans="3:8" ht="15.75" customHeight="1" x14ac:dyDescent="0.15">
      <c r="C20" s="2">
        <f t="shared" si="0"/>
        <v>18</v>
      </c>
      <c r="D20" s="2">
        <v>484700</v>
      </c>
      <c r="E20" s="2">
        <v>282472</v>
      </c>
      <c r="F20" s="2">
        <v>139882</v>
      </c>
      <c r="G20" s="2">
        <v>125096</v>
      </c>
      <c r="H20" s="2">
        <v>125199</v>
      </c>
    </row>
    <row r="21" spans="3:8" ht="15.75" customHeight="1" x14ac:dyDescent="0.15">
      <c r="C21" s="2">
        <f t="shared" si="0"/>
        <v>19</v>
      </c>
      <c r="D21" s="2">
        <v>494135</v>
      </c>
      <c r="E21" s="2">
        <v>263113</v>
      </c>
      <c r="F21" s="2">
        <v>129732</v>
      </c>
      <c r="G21" s="2">
        <v>123924</v>
      </c>
      <c r="H21" s="2">
        <v>122683</v>
      </c>
    </row>
    <row r="22" spans="3:8" ht="15.75" customHeight="1" x14ac:dyDescent="0.15">
      <c r="C22" s="2">
        <f t="shared" si="0"/>
        <v>20</v>
      </c>
      <c r="D22" s="2">
        <v>394412</v>
      </c>
      <c r="E22" s="2">
        <v>273286</v>
      </c>
      <c r="F22" s="2">
        <v>124089</v>
      </c>
      <c r="G22" s="2">
        <v>121254</v>
      </c>
      <c r="H22" s="2">
        <v>123469</v>
      </c>
    </row>
    <row r="23" spans="3:8" ht="15.75" customHeight="1" x14ac:dyDescent="0.15">
      <c r="C23" s="2">
        <f t="shared" si="0"/>
        <v>21</v>
      </c>
      <c r="D23" s="2">
        <v>461492</v>
      </c>
      <c r="E23" s="2">
        <v>255227</v>
      </c>
      <c r="F23" s="2">
        <v>126414</v>
      </c>
      <c r="G23" s="2">
        <v>120306</v>
      </c>
      <c r="H23" s="2">
        <v>123125</v>
      </c>
    </row>
    <row r="24" spans="3:8" ht="15.75" customHeight="1" x14ac:dyDescent="0.15">
      <c r="C24" s="2">
        <f t="shared" si="0"/>
        <v>22</v>
      </c>
      <c r="D24" s="2">
        <v>490419</v>
      </c>
      <c r="E24" s="2">
        <v>237536</v>
      </c>
      <c r="F24" s="2">
        <v>128697</v>
      </c>
      <c r="G24" s="2">
        <v>125540</v>
      </c>
      <c r="H24" s="2">
        <v>128870</v>
      </c>
    </row>
    <row r="25" spans="3:8" ht="15.75" customHeight="1" x14ac:dyDescent="0.15">
      <c r="C25" s="2">
        <f t="shared" si="0"/>
        <v>23</v>
      </c>
      <c r="D25" s="2">
        <v>480323</v>
      </c>
      <c r="E25" s="2">
        <v>241788</v>
      </c>
      <c r="F25" s="2">
        <v>131113</v>
      </c>
      <c r="G25" s="2">
        <v>122652</v>
      </c>
      <c r="H25" s="2">
        <v>124272</v>
      </c>
    </row>
    <row r="26" spans="3:8" ht="15.75" customHeight="1" x14ac:dyDescent="0.15">
      <c r="C26" s="2">
        <f t="shared" si="0"/>
        <v>24</v>
      </c>
      <c r="D26" s="2">
        <v>473174</v>
      </c>
      <c r="E26" s="2">
        <v>239647</v>
      </c>
      <c r="F26" s="2">
        <v>126775</v>
      </c>
      <c r="G26" s="2">
        <v>121945</v>
      </c>
      <c r="H26" s="2">
        <v>118850</v>
      </c>
    </row>
    <row r="27" spans="3:8" ht="15.75" customHeight="1" x14ac:dyDescent="0.15">
      <c r="C27" s="2">
        <f t="shared" si="0"/>
        <v>25</v>
      </c>
      <c r="D27" s="2">
        <v>488224</v>
      </c>
      <c r="E27" s="2">
        <v>248218</v>
      </c>
      <c r="F27" s="2">
        <v>124095</v>
      </c>
      <c r="G27" s="2">
        <v>122708</v>
      </c>
      <c r="H27" s="2">
        <v>121427</v>
      </c>
    </row>
    <row r="28" spans="3:8" ht="15.75" customHeight="1" x14ac:dyDescent="0.15">
      <c r="C28" s="2">
        <f t="shared" si="0"/>
        <v>26</v>
      </c>
      <c r="D28" s="2">
        <v>483721</v>
      </c>
      <c r="E28" s="2">
        <v>247961</v>
      </c>
      <c r="F28" s="2">
        <v>144219</v>
      </c>
      <c r="G28" s="2">
        <v>123634</v>
      </c>
      <c r="H28" s="2">
        <v>122498</v>
      </c>
    </row>
    <row r="29" spans="3:8" ht="15.75" customHeight="1" x14ac:dyDescent="0.15">
      <c r="C29" s="2">
        <f t="shared" si="0"/>
        <v>27</v>
      </c>
      <c r="D29" s="2">
        <v>496435</v>
      </c>
      <c r="E29" s="2">
        <v>244811</v>
      </c>
      <c r="F29" s="2">
        <v>131241</v>
      </c>
      <c r="G29" s="2">
        <v>127563</v>
      </c>
      <c r="H29" s="2">
        <v>124108</v>
      </c>
    </row>
    <row r="30" spans="3:8" ht="15.75" customHeight="1" x14ac:dyDescent="0.15">
      <c r="C30" s="2">
        <f t="shared" si="0"/>
        <v>28</v>
      </c>
      <c r="D30" s="2">
        <v>485327</v>
      </c>
      <c r="E30" s="2">
        <v>250677</v>
      </c>
      <c r="F30" s="2">
        <v>129346</v>
      </c>
      <c r="G30" s="2">
        <v>126792</v>
      </c>
      <c r="H30" s="2">
        <v>124428</v>
      </c>
    </row>
    <row r="31" spans="3:8" ht="15.75" customHeight="1" x14ac:dyDescent="0.15">
      <c r="C31" s="2">
        <f t="shared" si="0"/>
        <v>29</v>
      </c>
      <c r="D31" s="2">
        <v>469148</v>
      </c>
      <c r="E31" s="2">
        <v>350972</v>
      </c>
      <c r="F31" s="2">
        <v>128207</v>
      </c>
      <c r="G31" s="2">
        <v>122642</v>
      </c>
      <c r="H31" s="2">
        <v>128033</v>
      </c>
    </row>
    <row r="32" spans="3:8" ht="15.75" customHeight="1" x14ac:dyDescent="0.15">
      <c r="C32" s="2">
        <f t="shared" si="0"/>
        <v>30</v>
      </c>
      <c r="D32" s="2">
        <v>483900</v>
      </c>
      <c r="E32" s="2">
        <v>347849</v>
      </c>
      <c r="F32" s="2">
        <v>125970</v>
      </c>
      <c r="G32" s="2">
        <v>117914</v>
      </c>
      <c r="H32" s="2">
        <v>122322</v>
      </c>
    </row>
    <row r="33" spans="3:8" ht="15.75" customHeight="1" x14ac:dyDescent="0.15">
      <c r="C33" s="1" t="s">
        <v>15</v>
      </c>
      <c r="D33" s="2">
        <f t="shared" ref="D33:H33" si="1">AVERAGE(D3:D32)</f>
        <v>483325.16666666669</v>
      </c>
      <c r="E33" s="2">
        <f t="shared" si="1"/>
        <v>257924.56666666668</v>
      </c>
      <c r="F33" s="2">
        <f t="shared" si="1"/>
        <v>129234.63333333333</v>
      </c>
      <c r="G33" s="2">
        <f t="shared" si="1"/>
        <v>124547.8</v>
      </c>
      <c r="H33" s="2">
        <f t="shared" si="1"/>
        <v>123877.06666666667</v>
      </c>
    </row>
    <row r="34" spans="3:8" ht="15.75" customHeight="1" x14ac:dyDescent="0.15">
      <c r="C34" s="1" t="s">
        <v>16</v>
      </c>
      <c r="D34" s="2">
        <f t="shared" ref="D34:G34" si="2">STDEV(D3:D32)</f>
        <v>34444.669509112056</v>
      </c>
      <c r="E34" s="2">
        <f t="shared" si="2"/>
        <v>27187.579471063684</v>
      </c>
      <c r="F34" s="2">
        <f t="shared" si="2"/>
        <v>6221.0552408088597</v>
      </c>
      <c r="G34" s="2">
        <f t="shared" si="2"/>
        <v>3501.604483464786</v>
      </c>
      <c r="H34" s="2">
        <f>STDEV(H3,H32)</f>
        <v>4025.5589052950149</v>
      </c>
    </row>
    <row r="36" spans="3:8" ht="15.75" customHeight="1" x14ac:dyDescent="0.15">
      <c r="D36" s="1" t="s">
        <v>7</v>
      </c>
      <c r="E36" s="1" t="s">
        <v>8</v>
      </c>
      <c r="F36" s="1" t="s">
        <v>47</v>
      </c>
    </row>
    <row r="37" spans="3:8" ht="15.75" customHeight="1" x14ac:dyDescent="0.15">
      <c r="D37" s="2">
        <f>STDEV(D3:D32)</f>
        <v>34444.669509112056</v>
      </c>
      <c r="E37" s="2">
        <f>AVERAGE(D3:D32)</f>
        <v>483325.16666666669</v>
      </c>
      <c r="F37" s="2">
        <v>1</v>
      </c>
    </row>
    <row r="38" spans="3:8" ht="15.75" customHeight="1" x14ac:dyDescent="0.15">
      <c r="D38" s="2">
        <f>STDEV(E3:E32)</f>
        <v>27187.579471063684</v>
      </c>
      <c r="E38" s="2">
        <f>AVERAGE(E3:E32)</f>
        <v>257924.56666666668</v>
      </c>
      <c r="F38" s="2">
        <v>2</v>
      </c>
    </row>
    <row r="39" spans="3:8" ht="15.75" customHeight="1" x14ac:dyDescent="0.15">
      <c r="D39" s="2">
        <f>STDEV(F3:F32)</f>
        <v>6221.0552408088597</v>
      </c>
      <c r="E39" s="2">
        <f>AVERAGE(F3:F32)</f>
        <v>129234.63333333333</v>
      </c>
      <c r="F39" s="2">
        <v>4</v>
      </c>
    </row>
    <row r="40" spans="3:8" ht="15.75" customHeight="1" x14ac:dyDescent="0.15">
      <c r="D40" s="2">
        <f>STDEV(G3:G32)</f>
        <v>3501.604483464786</v>
      </c>
      <c r="E40" s="2">
        <f>AVERAGE(G3:G32)</f>
        <v>124547.8</v>
      </c>
      <c r="F40" s="2">
        <v>8</v>
      </c>
    </row>
    <row r="41" spans="3:8" ht="15.75" customHeight="1" x14ac:dyDescent="0.15">
      <c r="D41" s="2">
        <f>STDEV(H3,H32)</f>
        <v>4025.5589052950149</v>
      </c>
      <c r="E41" s="2">
        <f>AVERAGE(H3:H32)</f>
        <v>123877.06666666667</v>
      </c>
      <c r="F41" s="2">
        <v>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C3:H43"/>
  <sheetViews>
    <sheetView workbookViewId="0"/>
  </sheetViews>
  <sheetFormatPr baseColWidth="10" defaultColWidth="12.6640625" defaultRowHeight="15.75" customHeight="1" x14ac:dyDescent="0.15"/>
  <cols>
    <col min="4" max="4" width="25.6640625" customWidth="1"/>
    <col min="5" max="5" width="23.1640625" customWidth="1"/>
    <col min="6" max="6" width="24.33203125" customWidth="1"/>
    <col min="7" max="7" width="24.1640625" customWidth="1"/>
    <col min="8" max="8" width="23.33203125" customWidth="1"/>
  </cols>
  <sheetData>
    <row r="3" spans="3:8" ht="15.75" customHeight="1" x14ac:dyDescent="0.15">
      <c r="C3" s="1"/>
      <c r="D3" s="1" t="s">
        <v>48</v>
      </c>
      <c r="E3" s="1" t="s">
        <v>49</v>
      </c>
      <c r="F3" s="1" t="s">
        <v>50</v>
      </c>
      <c r="G3" s="1" t="s">
        <v>51</v>
      </c>
      <c r="H3" s="1" t="s">
        <v>52</v>
      </c>
    </row>
    <row r="4" spans="3:8" ht="15.75" customHeight="1" x14ac:dyDescent="0.15">
      <c r="C4" s="2">
        <v>1</v>
      </c>
      <c r="D4" s="2">
        <v>1310802</v>
      </c>
      <c r="E4" s="2">
        <v>746150</v>
      </c>
      <c r="F4" s="2">
        <v>357507</v>
      </c>
      <c r="G4" s="2">
        <v>347236</v>
      </c>
      <c r="H4" s="2">
        <v>339184</v>
      </c>
    </row>
    <row r="5" spans="3:8" ht="15.75" customHeight="1" x14ac:dyDescent="0.15">
      <c r="C5" s="2">
        <f t="shared" ref="C5:C33" si="0">C4+1</f>
        <v>2</v>
      </c>
      <c r="D5" s="2">
        <v>1394449</v>
      </c>
      <c r="E5" s="2">
        <v>688086</v>
      </c>
      <c r="F5" s="2">
        <v>336255</v>
      </c>
      <c r="G5" s="2">
        <v>325059</v>
      </c>
      <c r="H5" s="2">
        <v>337380</v>
      </c>
    </row>
    <row r="6" spans="3:8" ht="15.75" customHeight="1" x14ac:dyDescent="0.15">
      <c r="C6" s="2">
        <f t="shared" si="0"/>
        <v>3</v>
      </c>
      <c r="D6" s="2">
        <v>1385840</v>
      </c>
      <c r="E6" s="2">
        <v>669597</v>
      </c>
      <c r="F6" s="2">
        <v>331391</v>
      </c>
      <c r="G6" s="2">
        <v>316609</v>
      </c>
      <c r="H6" s="2">
        <v>333855</v>
      </c>
    </row>
    <row r="7" spans="3:8" ht="15.75" customHeight="1" x14ac:dyDescent="0.15">
      <c r="C7" s="2">
        <f t="shared" si="0"/>
        <v>4</v>
      </c>
      <c r="D7" s="2">
        <v>1344990</v>
      </c>
      <c r="E7" s="2">
        <v>682509</v>
      </c>
      <c r="F7" s="2">
        <v>333332</v>
      </c>
      <c r="G7" s="2">
        <v>319209</v>
      </c>
      <c r="H7" s="2">
        <v>337009</v>
      </c>
    </row>
    <row r="8" spans="3:8" ht="15.75" customHeight="1" x14ac:dyDescent="0.15">
      <c r="C8" s="2">
        <f t="shared" si="0"/>
        <v>5</v>
      </c>
      <c r="D8" s="2">
        <v>1335107</v>
      </c>
      <c r="E8" s="2">
        <v>744859</v>
      </c>
      <c r="F8" s="2">
        <v>334597</v>
      </c>
      <c r="G8" s="2">
        <v>347960</v>
      </c>
      <c r="H8" s="2">
        <v>335688</v>
      </c>
    </row>
    <row r="9" spans="3:8" ht="15.75" customHeight="1" x14ac:dyDescent="0.15">
      <c r="C9" s="2">
        <f t="shared" si="0"/>
        <v>6</v>
      </c>
      <c r="D9" s="2">
        <v>1397301</v>
      </c>
      <c r="E9" s="2">
        <v>699440</v>
      </c>
      <c r="F9" s="2">
        <v>339626</v>
      </c>
      <c r="G9" s="2">
        <v>314390</v>
      </c>
      <c r="H9" s="2">
        <v>330211</v>
      </c>
    </row>
    <row r="10" spans="3:8" ht="15.75" customHeight="1" x14ac:dyDescent="0.15">
      <c r="C10" s="2">
        <f t="shared" si="0"/>
        <v>7</v>
      </c>
      <c r="D10" s="2">
        <v>1367693</v>
      </c>
      <c r="E10" s="2">
        <v>673681</v>
      </c>
      <c r="F10" s="2">
        <v>347542</v>
      </c>
      <c r="G10" s="2">
        <v>313670</v>
      </c>
      <c r="H10" s="2">
        <v>334724</v>
      </c>
    </row>
    <row r="11" spans="3:8" ht="15.75" customHeight="1" x14ac:dyDescent="0.15">
      <c r="C11" s="2">
        <f t="shared" si="0"/>
        <v>8</v>
      </c>
      <c r="D11" s="2">
        <v>1407402</v>
      </c>
      <c r="E11" s="2">
        <v>679368</v>
      </c>
      <c r="F11" s="2">
        <v>337863</v>
      </c>
      <c r="G11" s="2">
        <v>313550</v>
      </c>
      <c r="H11" s="2">
        <v>350518</v>
      </c>
    </row>
    <row r="12" spans="3:8" ht="15.75" customHeight="1" x14ac:dyDescent="0.15">
      <c r="C12" s="2">
        <f t="shared" si="0"/>
        <v>9</v>
      </c>
      <c r="D12" s="2">
        <v>1346363</v>
      </c>
      <c r="E12" s="2">
        <v>672220</v>
      </c>
      <c r="F12" s="2">
        <v>346059</v>
      </c>
      <c r="G12" s="2">
        <v>331996</v>
      </c>
      <c r="H12" s="2">
        <v>340729</v>
      </c>
    </row>
    <row r="13" spans="3:8" ht="15.75" customHeight="1" x14ac:dyDescent="0.15">
      <c r="C13" s="2">
        <f t="shared" si="0"/>
        <v>10</v>
      </c>
      <c r="D13" s="2">
        <v>1515402</v>
      </c>
      <c r="E13" s="2">
        <v>715899</v>
      </c>
      <c r="F13" s="2">
        <v>329674</v>
      </c>
      <c r="G13" s="2">
        <v>298969</v>
      </c>
      <c r="H13" s="2">
        <v>339519</v>
      </c>
    </row>
    <row r="14" spans="3:8" ht="15.75" customHeight="1" x14ac:dyDescent="0.15">
      <c r="C14" s="2">
        <f t="shared" si="0"/>
        <v>11</v>
      </c>
      <c r="D14" s="2">
        <v>1308999</v>
      </c>
      <c r="E14" s="2">
        <v>666287</v>
      </c>
      <c r="F14" s="2">
        <v>355266</v>
      </c>
      <c r="G14" s="2">
        <v>312222</v>
      </c>
      <c r="H14" s="2">
        <v>335683</v>
      </c>
    </row>
    <row r="15" spans="3:8" ht="15.75" customHeight="1" x14ac:dyDescent="0.15">
      <c r="C15" s="2">
        <f t="shared" si="0"/>
        <v>12</v>
      </c>
      <c r="D15" s="2">
        <v>1500574</v>
      </c>
      <c r="E15" s="2">
        <v>677938</v>
      </c>
      <c r="F15" s="2">
        <v>336042</v>
      </c>
      <c r="G15" s="2">
        <v>338438</v>
      </c>
      <c r="H15" s="2">
        <v>331784</v>
      </c>
    </row>
    <row r="16" spans="3:8" ht="15.75" customHeight="1" x14ac:dyDescent="0.15">
      <c r="C16" s="2">
        <f t="shared" si="0"/>
        <v>13</v>
      </c>
      <c r="D16" s="2">
        <v>1040980</v>
      </c>
      <c r="E16" s="2">
        <v>769283</v>
      </c>
      <c r="F16" s="2">
        <v>338920</v>
      </c>
      <c r="G16" s="2">
        <v>347673</v>
      </c>
      <c r="H16" s="2">
        <v>340730</v>
      </c>
    </row>
    <row r="17" spans="3:8" ht="15.75" customHeight="1" x14ac:dyDescent="0.15">
      <c r="C17" s="2">
        <f t="shared" si="0"/>
        <v>14</v>
      </c>
      <c r="D17" s="2">
        <v>1049207</v>
      </c>
      <c r="E17" s="2">
        <v>686486</v>
      </c>
      <c r="F17" s="2">
        <v>335754</v>
      </c>
      <c r="G17" s="2">
        <v>330378</v>
      </c>
      <c r="H17" s="2">
        <v>335029</v>
      </c>
    </row>
    <row r="18" spans="3:8" ht="15.75" customHeight="1" x14ac:dyDescent="0.15">
      <c r="C18" s="2">
        <f t="shared" si="0"/>
        <v>15</v>
      </c>
      <c r="D18" s="2">
        <v>1377968</v>
      </c>
      <c r="E18" s="2">
        <v>691379</v>
      </c>
      <c r="F18" s="2">
        <v>339273</v>
      </c>
      <c r="G18" s="2">
        <v>338015</v>
      </c>
      <c r="H18" s="2">
        <v>340594</v>
      </c>
    </row>
    <row r="19" spans="3:8" ht="15.75" customHeight="1" x14ac:dyDescent="0.15">
      <c r="C19" s="2">
        <f t="shared" si="0"/>
        <v>16</v>
      </c>
      <c r="D19" s="2">
        <v>1074634</v>
      </c>
      <c r="E19" s="2">
        <v>681887</v>
      </c>
      <c r="F19" s="2">
        <v>338715</v>
      </c>
      <c r="G19" s="2">
        <v>347937</v>
      </c>
      <c r="H19" s="2">
        <v>334320</v>
      </c>
    </row>
    <row r="20" spans="3:8" ht="15.75" customHeight="1" x14ac:dyDescent="0.15">
      <c r="C20" s="2">
        <f t="shared" si="0"/>
        <v>17</v>
      </c>
      <c r="D20" s="2">
        <v>1369528</v>
      </c>
      <c r="E20" s="2">
        <v>699959</v>
      </c>
      <c r="F20" s="2">
        <v>332869</v>
      </c>
      <c r="G20" s="2">
        <v>314995</v>
      </c>
      <c r="H20" s="2">
        <v>334424</v>
      </c>
    </row>
    <row r="21" spans="3:8" ht="15.75" customHeight="1" x14ac:dyDescent="0.15">
      <c r="C21" s="2">
        <f t="shared" si="0"/>
        <v>18</v>
      </c>
      <c r="D21" s="2">
        <v>1350707</v>
      </c>
      <c r="E21" s="2">
        <v>678370</v>
      </c>
      <c r="F21" s="2">
        <v>335142</v>
      </c>
      <c r="G21" s="2">
        <v>324216</v>
      </c>
      <c r="H21" s="2">
        <v>337683</v>
      </c>
    </row>
    <row r="22" spans="3:8" ht="15.75" customHeight="1" x14ac:dyDescent="0.15">
      <c r="C22" s="2">
        <f t="shared" si="0"/>
        <v>19</v>
      </c>
      <c r="D22" s="2">
        <v>1023759</v>
      </c>
      <c r="E22" s="2">
        <v>683921</v>
      </c>
      <c r="F22" s="2">
        <v>335127</v>
      </c>
      <c r="G22" s="2">
        <v>330235</v>
      </c>
      <c r="H22" s="2">
        <v>336888</v>
      </c>
    </row>
    <row r="23" spans="3:8" ht="15.75" customHeight="1" x14ac:dyDescent="0.15">
      <c r="C23" s="2">
        <f t="shared" si="0"/>
        <v>20</v>
      </c>
      <c r="D23" s="2">
        <v>1328235</v>
      </c>
      <c r="E23" s="2">
        <v>687839</v>
      </c>
      <c r="F23" s="2">
        <v>377534</v>
      </c>
      <c r="G23" s="2">
        <v>344510</v>
      </c>
      <c r="H23" s="2">
        <v>313494</v>
      </c>
    </row>
    <row r="24" spans="3:8" ht="15.75" customHeight="1" x14ac:dyDescent="0.15">
      <c r="C24" s="2">
        <f t="shared" si="0"/>
        <v>21</v>
      </c>
      <c r="D24" s="2">
        <v>1351131</v>
      </c>
      <c r="E24" s="2">
        <v>785477</v>
      </c>
      <c r="F24" s="2">
        <v>336778</v>
      </c>
      <c r="G24" s="2">
        <v>322257</v>
      </c>
      <c r="H24" s="2">
        <v>337187</v>
      </c>
    </row>
    <row r="25" spans="3:8" ht="15.75" customHeight="1" x14ac:dyDescent="0.15">
      <c r="C25" s="2">
        <f t="shared" si="0"/>
        <v>22</v>
      </c>
      <c r="D25" s="2">
        <v>1467461</v>
      </c>
      <c r="E25" s="2">
        <v>703989</v>
      </c>
      <c r="F25" s="2">
        <v>329849</v>
      </c>
      <c r="G25" s="2">
        <v>321712</v>
      </c>
      <c r="H25" s="2">
        <v>339808</v>
      </c>
    </row>
    <row r="26" spans="3:8" ht="15.75" customHeight="1" x14ac:dyDescent="0.15">
      <c r="C26" s="2">
        <f t="shared" si="0"/>
        <v>23</v>
      </c>
      <c r="D26" s="2">
        <v>1315863</v>
      </c>
      <c r="E26" s="2">
        <v>657393</v>
      </c>
      <c r="F26" s="2">
        <v>334741</v>
      </c>
      <c r="G26" s="2">
        <v>351546</v>
      </c>
      <c r="H26" s="2">
        <v>319704</v>
      </c>
    </row>
    <row r="27" spans="3:8" ht="15.75" customHeight="1" x14ac:dyDescent="0.15">
      <c r="C27" s="2">
        <f t="shared" si="0"/>
        <v>24</v>
      </c>
      <c r="D27" s="2">
        <v>1357539</v>
      </c>
      <c r="E27" s="2">
        <v>673238</v>
      </c>
      <c r="F27" s="2">
        <v>331938</v>
      </c>
      <c r="G27" s="2">
        <v>334969</v>
      </c>
      <c r="H27" s="2">
        <v>340063</v>
      </c>
    </row>
    <row r="28" spans="3:8" ht="15.75" customHeight="1" x14ac:dyDescent="0.15">
      <c r="C28" s="2">
        <f t="shared" si="0"/>
        <v>25</v>
      </c>
      <c r="D28" s="2">
        <v>1306908</v>
      </c>
      <c r="E28" s="2">
        <v>727728</v>
      </c>
      <c r="F28" s="2">
        <v>336074</v>
      </c>
      <c r="G28" s="2">
        <v>348442</v>
      </c>
      <c r="H28" s="2">
        <v>331860</v>
      </c>
    </row>
    <row r="29" spans="3:8" ht="15.75" customHeight="1" x14ac:dyDescent="0.15">
      <c r="C29" s="2">
        <f t="shared" si="0"/>
        <v>26</v>
      </c>
      <c r="D29" s="2">
        <v>1473444</v>
      </c>
      <c r="E29" s="2">
        <v>691316</v>
      </c>
      <c r="F29" s="2">
        <v>334962</v>
      </c>
      <c r="G29" s="2">
        <v>340046</v>
      </c>
      <c r="H29" s="2">
        <v>332323</v>
      </c>
    </row>
    <row r="30" spans="3:8" ht="15.75" customHeight="1" x14ac:dyDescent="0.15">
      <c r="C30" s="2">
        <f t="shared" si="0"/>
        <v>27</v>
      </c>
      <c r="D30" s="2">
        <v>1088050</v>
      </c>
      <c r="E30" s="2">
        <v>688634</v>
      </c>
      <c r="F30" s="2">
        <v>352915</v>
      </c>
      <c r="G30" s="2">
        <v>338639</v>
      </c>
      <c r="H30" s="2">
        <v>313269</v>
      </c>
    </row>
    <row r="31" spans="3:8" ht="15.75" customHeight="1" x14ac:dyDescent="0.15">
      <c r="C31" s="2">
        <f t="shared" si="0"/>
        <v>28</v>
      </c>
      <c r="D31" s="2">
        <v>1530279</v>
      </c>
      <c r="E31" s="2">
        <v>670574</v>
      </c>
      <c r="F31" s="2">
        <v>345355</v>
      </c>
      <c r="G31" s="2">
        <v>344742</v>
      </c>
      <c r="H31" s="2">
        <v>314437</v>
      </c>
    </row>
    <row r="32" spans="3:8" ht="15.75" customHeight="1" x14ac:dyDescent="0.15">
      <c r="C32" s="2">
        <f t="shared" si="0"/>
        <v>29</v>
      </c>
      <c r="D32" s="2">
        <v>1091804</v>
      </c>
      <c r="E32" s="2">
        <v>699075</v>
      </c>
      <c r="F32" s="2">
        <v>355847</v>
      </c>
      <c r="G32" s="2">
        <v>345193</v>
      </c>
      <c r="H32" s="2">
        <v>311359</v>
      </c>
    </row>
    <row r="33" spans="3:8" ht="15.75" customHeight="1" x14ac:dyDescent="0.15">
      <c r="C33" s="2">
        <f t="shared" si="0"/>
        <v>30</v>
      </c>
      <c r="D33" s="2">
        <v>1348158</v>
      </c>
      <c r="E33" s="2">
        <v>677857</v>
      </c>
      <c r="F33" s="2">
        <v>339267</v>
      </c>
      <c r="G33" s="2">
        <v>345908</v>
      </c>
      <c r="H33" s="2">
        <v>314311</v>
      </c>
    </row>
    <row r="34" spans="3:8" ht="15.75" customHeight="1" x14ac:dyDescent="0.15">
      <c r="C34" s="1" t="s">
        <v>15</v>
      </c>
      <c r="D34" s="2">
        <f t="shared" ref="D34:H34" si="1">AVERAGE(D4:D33)</f>
        <v>1318685.8999999999</v>
      </c>
      <c r="E34" s="2">
        <f t="shared" si="1"/>
        <v>695681.3</v>
      </c>
      <c r="F34" s="2">
        <f t="shared" si="1"/>
        <v>340540.46666666667</v>
      </c>
      <c r="G34" s="2">
        <f t="shared" si="1"/>
        <v>331690.7</v>
      </c>
      <c r="H34" s="2">
        <f t="shared" si="1"/>
        <v>332458.90000000002</v>
      </c>
    </row>
    <row r="35" spans="3:8" ht="15.75" customHeight="1" x14ac:dyDescent="0.15">
      <c r="C35" s="1" t="s">
        <v>16</v>
      </c>
      <c r="D35" s="2">
        <f t="shared" ref="D35:H35" si="2">STDEV(D4:D33)</f>
        <v>144194.12704510579</v>
      </c>
      <c r="E35" s="2">
        <f t="shared" si="2"/>
        <v>30605.98392150542</v>
      </c>
      <c r="F35" s="2">
        <f t="shared" si="2"/>
        <v>10398.196636530492</v>
      </c>
      <c r="G35" s="2">
        <f t="shared" si="2"/>
        <v>14373.434679752208</v>
      </c>
      <c r="H35" s="2">
        <f t="shared" si="2"/>
        <v>9979.0644622318832</v>
      </c>
    </row>
    <row r="38" spans="3:8" ht="15.75" customHeight="1" x14ac:dyDescent="0.15">
      <c r="D38" s="1" t="s">
        <v>7</v>
      </c>
      <c r="E38" s="1" t="s">
        <v>8</v>
      </c>
      <c r="F38" s="1" t="s">
        <v>47</v>
      </c>
    </row>
    <row r="39" spans="3:8" ht="15.75" customHeight="1" x14ac:dyDescent="0.15">
      <c r="D39" s="2">
        <f>STDEV(D4:D33)</f>
        <v>144194.12704510579</v>
      </c>
      <c r="E39" s="2">
        <f>AVERAGE(D4:D33)</f>
        <v>1318685.8999999999</v>
      </c>
      <c r="F39" s="2">
        <v>1</v>
      </c>
    </row>
    <row r="40" spans="3:8" ht="15.75" customHeight="1" x14ac:dyDescent="0.15">
      <c r="D40" s="2">
        <f>STDEV(E4:E33)</f>
        <v>30605.98392150542</v>
      </c>
      <c r="E40" s="2">
        <f>AVERAGE(E4:E33)</f>
        <v>695681.3</v>
      </c>
      <c r="F40" s="2">
        <v>2</v>
      </c>
    </row>
    <row r="41" spans="3:8" ht="15.75" customHeight="1" x14ac:dyDescent="0.15">
      <c r="D41" s="2">
        <f>STDEV(F4:F33)</f>
        <v>10398.196636530492</v>
      </c>
      <c r="E41" s="2">
        <f>AVERAGE(F4:F33)</f>
        <v>340540.46666666667</v>
      </c>
      <c r="F41" s="2">
        <v>4</v>
      </c>
    </row>
    <row r="42" spans="3:8" ht="15.75" customHeight="1" x14ac:dyDescent="0.15">
      <c r="D42" s="2">
        <f>STDEV(G4:G33)</f>
        <v>14373.434679752208</v>
      </c>
      <c r="E42" s="2">
        <f>AVERAGE(G4:G33)</f>
        <v>331690.7</v>
      </c>
      <c r="F42" s="2">
        <v>8</v>
      </c>
    </row>
    <row r="43" spans="3:8" ht="15.75" customHeight="1" x14ac:dyDescent="0.15">
      <c r="D43" s="2">
        <f>STDEV(H4:H33)</f>
        <v>9979.0644622318832</v>
      </c>
      <c r="E43" s="2">
        <f>AVERAGE(H4:H33)</f>
        <v>332458.90000000002</v>
      </c>
      <c r="F43" s="2">
        <v>12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C2:H42"/>
  <sheetViews>
    <sheetView workbookViewId="0"/>
  </sheetViews>
  <sheetFormatPr baseColWidth="10" defaultColWidth="12.6640625" defaultRowHeight="15.75" customHeight="1" x14ac:dyDescent="0.15"/>
  <cols>
    <col min="4" max="4" width="27.83203125" customWidth="1"/>
    <col min="5" max="5" width="24.1640625" customWidth="1"/>
    <col min="6" max="6" width="21.6640625" customWidth="1"/>
    <col min="7" max="7" width="23.5" customWidth="1"/>
    <col min="8" max="8" width="23.83203125" customWidth="1"/>
  </cols>
  <sheetData>
    <row r="2" spans="3:8" ht="15.75" customHeight="1" x14ac:dyDescent="0.15">
      <c r="C2" s="1"/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</row>
    <row r="3" spans="3:8" ht="15.75" customHeight="1" x14ac:dyDescent="0.15">
      <c r="C3" s="2">
        <v>1</v>
      </c>
      <c r="D3" s="2">
        <v>3053889</v>
      </c>
      <c r="E3" s="2">
        <v>1535180</v>
      </c>
      <c r="F3" s="2">
        <v>770569</v>
      </c>
      <c r="G3" s="2">
        <v>743649</v>
      </c>
      <c r="H3" s="2">
        <v>695414</v>
      </c>
    </row>
    <row r="4" spans="3:8" ht="15.75" customHeight="1" x14ac:dyDescent="0.15">
      <c r="C4" s="2">
        <f t="shared" ref="C4:C32" si="0">C3+1</f>
        <v>2</v>
      </c>
      <c r="D4" s="2">
        <v>3052131</v>
      </c>
      <c r="E4" s="2">
        <v>1599546</v>
      </c>
      <c r="F4" s="2">
        <v>755336</v>
      </c>
      <c r="G4" s="2">
        <v>649920</v>
      </c>
      <c r="H4" s="2">
        <v>702658</v>
      </c>
    </row>
    <row r="5" spans="3:8" ht="15.75" customHeight="1" x14ac:dyDescent="0.15">
      <c r="C5" s="2">
        <f t="shared" si="0"/>
        <v>3</v>
      </c>
      <c r="D5" s="2">
        <v>3223359</v>
      </c>
      <c r="E5" s="2">
        <v>1615417</v>
      </c>
      <c r="F5" s="2">
        <v>733089</v>
      </c>
      <c r="G5" s="2">
        <v>691070</v>
      </c>
      <c r="H5" s="2">
        <v>748815</v>
      </c>
    </row>
    <row r="6" spans="3:8" ht="15.75" customHeight="1" x14ac:dyDescent="0.15">
      <c r="C6" s="2">
        <f t="shared" si="0"/>
        <v>4</v>
      </c>
      <c r="D6" s="2">
        <v>3160144</v>
      </c>
      <c r="E6" s="2">
        <v>1174666</v>
      </c>
      <c r="F6" s="2">
        <v>748096</v>
      </c>
      <c r="G6" s="2">
        <v>731059</v>
      </c>
      <c r="H6" s="2">
        <v>733894</v>
      </c>
    </row>
    <row r="7" spans="3:8" ht="15.75" customHeight="1" x14ac:dyDescent="0.15">
      <c r="C7" s="2">
        <f t="shared" si="0"/>
        <v>5</v>
      </c>
      <c r="D7" s="2">
        <v>3063387</v>
      </c>
      <c r="E7" s="2">
        <v>1519395</v>
      </c>
      <c r="F7" s="2">
        <v>730960</v>
      </c>
      <c r="G7" s="2">
        <v>734204</v>
      </c>
      <c r="H7" s="2">
        <v>731334</v>
      </c>
    </row>
    <row r="8" spans="3:8" ht="15.75" customHeight="1" x14ac:dyDescent="0.15">
      <c r="C8" s="2">
        <f t="shared" si="0"/>
        <v>6</v>
      </c>
      <c r="D8" s="2">
        <v>3254029</v>
      </c>
      <c r="E8" s="2">
        <v>1487909</v>
      </c>
      <c r="F8" s="2">
        <v>746613</v>
      </c>
      <c r="G8" s="2">
        <v>746943</v>
      </c>
      <c r="H8" s="2">
        <v>749431</v>
      </c>
    </row>
    <row r="9" spans="3:8" ht="15.75" customHeight="1" x14ac:dyDescent="0.15">
      <c r="C9" s="2">
        <f t="shared" si="0"/>
        <v>7</v>
      </c>
      <c r="D9" s="2">
        <v>3367056</v>
      </c>
      <c r="E9" s="2">
        <v>1582210</v>
      </c>
      <c r="F9" s="2">
        <v>744886</v>
      </c>
      <c r="G9" s="2">
        <v>742676</v>
      </c>
      <c r="H9" s="2">
        <v>743778</v>
      </c>
    </row>
    <row r="10" spans="3:8" ht="15.75" customHeight="1" x14ac:dyDescent="0.15">
      <c r="C10" s="2">
        <f t="shared" si="0"/>
        <v>8</v>
      </c>
      <c r="D10" s="2">
        <v>3162067</v>
      </c>
      <c r="E10" s="2">
        <v>1558698</v>
      </c>
      <c r="F10" s="2">
        <v>801905</v>
      </c>
      <c r="G10" s="2">
        <v>757341</v>
      </c>
      <c r="H10" s="2">
        <v>754864</v>
      </c>
    </row>
    <row r="11" spans="3:8" ht="15.75" customHeight="1" x14ac:dyDescent="0.15">
      <c r="C11" s="2">
        <f t="shared" si="0"/>
        <v>9</v>
      </c>
      <c r="D11" s="2">
        <v>3419977</v>
      </c>
      <c r="E11" s="2">
        <v>1515526</v>
      </c>
      <c r="F11" s="2">
        <v>750840</v>
      </c>
      <c r="G11" s="2">
        <v>716072</v>
      </c>
      <c r="H11" s="2">
        <v>749902</v>
      </c>
    </row>
    <row r="12" spans="3:8" ht="15.75" customHeight="1" x14ac:dyDescent="0.15">
      <c r="C12" s="2">
        <f t="shared" si="0"/>
        <v>10</v>
      </c>
      <c r="D12" s="2">
        <v>3254124</v>
      </c>
      <c r="E12" s="2">
        <v>1587157</v>
      </c>
      <c r="F12" s="2">
        <v>752470</v>
      </c>
      <c r="G12" s="2">
        <v>736017</v>
      </c>
      <c r="H12" s="2">
        <v>739260</v>
      </c>
    </row>
    <row r="13" spans="3:8" ht="15.75" customHeight="1" x14ac:dyDescent="0.15">
      <c r="C13" s="2">
        <f t="shared" si="0"/>
        <v>11</v>
      </c>
      <c r="D13" s="2">
        <v>3119301</v>
      </c>
      <c r="E13" s="2">
        <v>1629891</v>
      </c>
      <c r="F13" s="2">
        <v>741975</v>
      </c>
      <c r="G13" s="2">
        <v>738809</v>
      </c>
      <c r="H13" s="2">
        <v>715375</v>
      </c>
    </row>
    <row r="14" spans="3:8" ht="15.75" customHeight="1" x14ac:dyDescent="0.15">
      <c r="C14" s="2">
        <f t="shared" si="0"/>
        <v>12</v>
      </c>
      <c r="D14" s="2">
        <v>3100794</v>
      </c>
      <c r="E14" s="2">
        <v>1596588</v>
      </c>
      <c r="F14" s="2">
        <v>758155</v>
      </c>
      <c r="G14" s="2">
        <v>686992</v>
      </c>
      <c r="H14" s="2">
        <v>694658</v>
      </c>
    </row>
    <row r="15" spans="3:8" ht="15.75" customHeight="1" x14ac:dyDescent="0.15">
      <c r="C15" s="2">
        <f t="shared" si="0"/>
        <v>13</v>
      </c>
      <c r="D15" s="2">
        <v>2856857</v>
      </c>
      <c r="E15" s="2">
        <v>1555759</v>
      </c>
      <c r="F15" s="2">
        <v>753612</v>
      </c>
      <c r="G15" s="2">
        <v>747898</v>
      </c>
      <c r="H15" s="2">
        <v>735794</v>
      </c>
    </row>
    <row r="16" spans="3:8" ht="15.75" customHeight="1" x14ac:dyDescent="0.15">
      <c r="C16" s="2">
        <f t="shared" si="0"/>
        <v>14</v>
      </c>
      <c r="D16" s="2">
        <v>3095957</v>
      </c>
      <c r="E16" s="2">
        <v>1586190</v>
      </c>
      <c r="F16" s="2">
        <v>736938</v>
      </c>
      <c r="G16" s="2">
        <v>759713</v>
      </c>
      <c r="H16" s="2">
        <v>686350</v>
      </c>
    </row>
    <row r="17" spans="3:8" ht="15.75" customHeight="1" x14ac:dyDescent="0.15">
      <c r="C17" s="2">
        <f t="shared" si="0"/>
        <v>15</v>
      </c>
      <c r="D17" s="2">
        <v>3094448</v>
      </c>
      <c r="E17" s="2">
        <v>1480593</v>
      </c>
      <c r="F17" s="2">
        <v>739519</v>
      </c>
      <c r="G17" s="2">
        <v>753678</v>
      </c>
      <c r="H17" s="2">
        <v>755875</v>
      </c>
    </row>
    <row r="18" spans="3:8" ht="15.75" customHeight="1" x14ac:dyDescent="0.15">
      <c r="C18" s="2">
        <f t="shared" si="0"/>
        <v>16</v>
      </c>
      <c r="D18" s="2">
        <v>2966297</v>
      </c>
      <c r="E18" s="2">
        <v>1571551</v>
      </c>
      <c r="F18" s="2">
        <v>749873</v>
      </c>
      <c r="G18" s="2">
        <v>751495</v>
      </c>
      <c r="H18" s="2">
        <v>744586</v>
      </c>
    </row>
    <row r="19" spans="3:8" ht="15.75" customHeight="1" x14ac:dyDescent="0.15">
      <c r="C19" s="2">
        <f t="shared" si="0"/>
        <v>17</v>
      </c>
      <c r="D19" s="2">
        <v>3092720</v>
      </c>
      <c r="E19" s="2">
        <v>1581365</v>
      </c>
      <c r="F19" s="2">
        <v>744160</v>
      </c>
      <c r="G19" s="2">
        <v>692012</v>
      </c>
      <c r="H19" s="2">
        <v>687545</v>
      </c>
    </row>
    <row r="20" spans="3:8" ht="15.75" customHeight="1" x14ac:dyDescent="0.15">
      <c r="C20" s="2">
        <f t="shared" si="0"/>
        <v>18</v>
      </c>
      <c r="D20" s="2">
        <v>3249223</v>
      </c>
      <c r="E20" s="2">
        <v>1554988</v>
      </c>
      <c r="F20" s="2">
        <v>736019</v>
      </c>
      <c r="G20" s="2">
        <v>747420</v>
      </c>
      <c r="H20" s="2">
        <v>694594</v>
      </c>
    </row>
    <row r="21" spans="3:8" ht="15.75" customHeight="1" x14ac:dyDescent="0.15">
      <c r="C21" s="2">
        <f t="shared" si="0"/>
        <v>19</v>
      </c>
      <c r="D21" s="2">
        <v>3086244</v>
      </c>
      <c r="E21" s="2">
        <v>1558562</v>
      </c>
      <c r="F21" s="2">
        <v>735028</v>
      </c>
      <c r="G21" s="2">
        <v>751709</v>
      </c>
      <c r="H21" s="2">
        <v>754050</v>
      </c>
    </row>
    <row r="22" spans="3:8" ht="15.75" customHeight="1" x14ac:dyDescent="0.15">
      <c r="C22" s="2">
        <f t="shared" si="0"/>
        <v>20</v>
      </c>
      <c r="D22" s="2">
        <v>3103827</v>
      </c>
      <c r="E22" s="2">
        <v>1692541</v>
      </c>
      <c r="F22" s="2">
        <v>736319</v>
      </c>
      <c r="G22" s="2">
        <v>733629</v>
      </c>
      <c r="H22" s="2">
        <v>740822</v>
      </c>
    </row>
    <row r="23" spans="3:8" ht="15.75" customHeight="1" x14ac:dyDescent="0.15">
      <c r="C23" s="2">
        <f t="shared" si="0"/>
        <v>21</v>
      </c>
      <c r="D23" s="2">
        <v>2362293</v>
      </c>
      <c r="E23" s="2">
        <v>1550524</v>
      </c>
      <c r="F23" s="2">
        <v>742154</v>
      </c>
      <c r="G23" s="2">
        <v>751661</v>
      </c>
      <c r="H23" s="2">
        <v>733624</v>
      </c>
    </row>
    <row r="24" spans="3:8" ht="15.75" customHeight="1" x14ac:dyDescent="0.15">
      <c r="C24" s="2">
        <f t="shared" si="0"/>
        <v>22</v>
      </c>
      <c r="D24" s="2">
        <v>3125085</v>
      </c>
      <c r="E24" s="2">
        <v>1635716</v>
      </c>
      <c r="F24" s="2">
        <v>739775</v>
      </c>
      <c r="G24" s="2">
        <v>734144</v>
      </c>
      <c r="H24" s="2">
        <v>727738</v>
      </c>
    </row>
    <row r="25" spans="3:8" ht="15.75" customHeight="1" x14ac:dyDescent="0.15">
      <c r="C25" s="2">
        <f t="shared" si="0"/>
        <v>23</v>
      </c>
      <c r="D25" s="2">
        <v>3170114</v>
      </c>
      <c r="E25" s="2">
        <v>1633052</v>
      </c>
      <c r="F25" s="2">
        <v>734964</v>
      </c>
      <c r="G25" s="2">
        <v>715520</v>
      </c>
      <c r="H25" s="2">
        <v>733901</v>
      </c>
    </row>
    <row r="26" spans="3:8" ht="15.75" customHeight="1" x14ac:dyDescent="0.15">
      <c r="C26" s="2">
        <f t="shared" si="0"/>
        <v>24</v>
      </c>
      <c r="D26" s="2">
        <v>3098900</v>
      </c>
      <c r="E26" s="2">
        <v>1484901</v>
      </c>
      <c r="F26" s="2">
        <v>738515</v>
      </c>
      <c r="G26" s="2">
        <v>719279</v>
      </c>
      <c r="H26" s="2">
        <v>743378</v>
      </c>
    </row>
    <row r="27" spans="3:8" ht="15.75" customHeight="1" x14ac:dyDescent="0.15">
      <c r="C27" s="2">
        <f t="shared" si="0"/>
        <v>25</v>
      </c>
      <c r="D27" s="2">
        <v>3070985</v>
      </c>
      <c r="E27" s="2">
        <v>1548497</v>
      </c>
      <c r="F27" s="2">
        <v>741996</v>
      </c>
      <c r="G27" s="2">
        <v>730067</v>
      </c>
      <c r="H27" s="2">
        <v>693567</v>
      </c>
    </row>
    <row r="28" spans="3:8" ht="15.75" customHeight="1" x14ac:dyDescent="0.15">
      <c r="C28" s="2">
        <f t="shared" si="0"/>
        <v>26</v>
      </c>
      <c r="D28" s="2">
        <v>3204166</v>
      </c>
      <c r="E28" s="2">
        <v>1538620</v>
      </c>
      <c r="F28" s="2">
        <v>733768</v>
      </c>
      <c r="G28" s="2">
        <v>705062</v>
      </c>
      <c r="H28" s="2">
        <v>735208</v>
      </c>
    </row>
    <row r="29" spans="3:8" ht="15.75" customHeight="1" x14ac:dyDescent="0.15">
      <c r="C29" s="2">
        <f t="shared" si="0"/>
        <v>27</v>
      </c>
      <c r="D29" s="2">
        <v>3203095</v>
      </c>
      <c r="E29" s="2">
        <v>1557649</v>
      </c>
      <c r="F29" s="2">
        <v>734183</v>
      </c>
      <c r="G29" s="2">
        <v>711987</v>
      </c>
      <c r="H29" s="2">
        <v>685108</v>
      </c>
    </row>
    <row r="30" spans="3:8" ht="15.75" customHeight="1" x14ac:dyDescent="0.15">
      <c r="C30" s="2">
        <f t="shared" si="0"/>
        <v>28</v>
      </c>
      <c r="D30" s="2">
        <v>3287616</v>
      </c>
      <c r="E30" s="2">
        <v>1571458</v>
      </c>
      <c r="F30" s="2">
        <v>790243</v>
      </c>
      <c r="G30" s="2">
        <v>708444</v>
      </c>
      <c r="H30" s="2">
        <v>735965</v>
      </c>
    </row>
    <row r="31" spans="3:8" ht="15.75" customHeight="1" x14ac:dyDescent="0.15">
      <c r="C31" s="2">
        <f t="shared" si="0"/>
        <v>29</v>
      </c>
      <c r="D31" s="2">
        <v>3088100</v>
      </c>
      <c r="E31" s="2">
        <v>1500264</v>
      </c>
      <c r="F31" s="2">
        <v>739533</v>
      </c>
      <c r="G31" s="2">
        <v>720604</v>
      </c>
      <c r="H31" s="2">
        <v>738260</v>
      </c>
    </row>
    <row r="32" spans="3:8" ht="15.75" customHeight="1" x14ac:dyDescent="0.15">
      <c r="C32" s="2">
        <f t="shared" si="0"/>
        <v>30</v>
      </c>
      <c r="D32" s="2">
        <v>3067671</v>
      </c>
      <c r="E32" s="2">
        <v>1794989</v>
      </c>
      <c r="F32" s="2">
        <v>752884</v>
      </c>
      <c r="G32" s="2">
        <v>746273</v>
      </c>
      <c r="H32" s="2">
        <v>729309</v>
      </c>
    </row>
    <row r="33" spans="3:8" ht="15.75" customHeight="1" x14ac:dyDescent="0.15">
      <c r="C33" s="1" t="s">
        <v>15</v>
      </c>
      <c r="D33" s="2">
        <f t="shared" ref="D33:H33" si="1">AVERAGE(D3:D32)</f>
        <v>3115128.5333333332</v>
      </c>
      <c r="E33" s="2">
        <f t="shared" si="1"/>
        <v>1559980.0666666667</v>
      </c>
      <c r="F33" s="2">
        <f t="shared" si="1"/>
        <v>747145.9</v>
      </c>
      <c r="G33" s="2">
        <f t="shared" si="1"/>
        <v>728511.56666666665</v>
      </c>
      <c r="H33" s="2">
        <f t="shared" si="1"/>
        <v>727168.56666666665</v>
      </c>
    </row>
    <row r="34" spans="3:8" ht="15.75" customHeight="1" x14ac:dyDescent="0.15">
      <c r="C34" s="1" t="s">
        <v>16</v>
      </c>
      <c r="D34" s="2">
        <f>STDEV(D3,D32)</f>
        <v>9745.3456583129973</v>
      </c>
      <c r="E34" s="2">
        <f t="shared" ref="E34:H34" si="2">STDEV(E3:E32)</f>
        <v>96761.376922439638</v>
      </c>
      <c r="F34" s="2">
        <f t="shared" si="2"/>
        <v>16084.259706309151</v>
      </c>
      <c r="G34" s="2">
        <f t="shared" si="2"/>
        <v>25224.323467477854</v>
      </c>
      <c r="H34" s="2">
        <f t="shared" si="2"/>
        <v>23091.875492719606</v>
      </c>
    </row>
    <row r="37" spans="3:8" ht="15.75" customHeight="1" x14ac:dyDescent="0.15">
      <c r="D37" s="1" t="s">
        <v>7</v>
      </c>
      <c r="E37" s="1" t="s">
        <v>8</v>
      </c>
      <c r="F37" s="1" t="s">
        <v>47</v>
      </c>
    </row>
    <row r="38" spans="3:8" ht="15.75" customHeight="1" x14ac:dyDescent="0.15">
      <c r="D38" s="2">
        <f>STDEV(D3,D32)</f>
        <v>9745.3456583129973</v>
      </c>
      <c r="E38" s="2">
        <f>AVERAGE(D3:D32)</f>
        <v>3115128.5333333332</v>
      </c>
      <c r="F38" s="2">
        <v>1</v>
      </c>
    </row>
    <row r="39" spans="3:8" ht="15.75" customHeight="1" x14ac:dyDescent="0.15">
      <c r="D39" s="2">
        <f>STDEV(E3:E32)</f>
        <v>96761.376922439638</v>
      </c>
      <c r="E39" s="2">
        <f>AVERAGE(E3:E32)</f>
        <v>1559980.0666666667</v>
      </c>
      <c r="F39" s="2">
        <v>2</v>
      </c>
    </row>
    <row r="40" spans="3:8" ht="15.75" customHeight="1" x14ac:dyDescent="0.15">
      <c r="D40" s="2">
        <f>STDEV(F3:F32)</f>
        <v>16084.259706309151</v>
      </c>
      <c r="E40" s="2">
        <f>AVERAGE(F3:F32)</f>
        <v>747145.9</v>
      </c>
      <c r="F40" s="2">
        <v>4</v>
      </c>
    </row>
    <row r="41" spans="3:8" ht="15.75" customHeight="1" x14ac:dyDescent="0.15">
      <c r="D41" s="2">
        <f>STDEV(G3:G32)</f>
        <v>25224.323467477854</v>
      </c>
      <c r="E41" s="2">
        <f>AVERAGE(G3:G32)</f>
        <v>728511.56666666665</v>
      </c>
      <c r="F41" s="2">
        <v>8</v>
      </c>
    </row>
    <row r="42" spans="3:8" ht="15.75" customHeight="1" x14ac:dyDescent="0.15">
      <c r="D42" s="2">
        <f>STDEV(H3:H32)</f>
        <v>23091.875492719606</v>
      </c>
      <c r="E42" s="2">
        <f>AVERAGE(H3:H32)</f>
        <v>727168.56666666665</v>
      </c>
      <c r="F42" s="2">
        <v>12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C4:H45"/>
  <sheetViews>
    <sheetView workbookViewId="0"/>
  </sheetViews>
  <sheetFormatPr baseColWidth="10" defaultColWidth="12.6640625" defaultRowHeight="15.75" customHeight="1" x14ac:dyDescent="0.15"/>
  <cols>
    <col min="4" max="4" width="24.6640625" customWidth="1"/>
    <col min="5" max="5" width="24.5" customWidth="1"/>
    <col min="6" max="6" width="25.1640625" customWidth="1"/>
    <col min="7" max="7" width="25.5" customWidth="1"/>
    <col min="8" max="8" width="24.5" customWidth="1"/>
  </cols>
  <sheetData>
    <row r="4" spans="3:8" ht="15.75" customHeight="1" x14ac:dyDescent="0.15">
      <c r="C4" s="1"/>
      <c r="D4" s="1" t="s">
        <v>58</v>
      </c>
      <c r="E4" s="1" t="s">
        <v>59</v>
      </c>
      <c r="F4" s="1" t="s">
        <v>60</v>
      </c>
      <c r="G4" s="1" t="s">
        <v>61</v>
      </c>
      <c r="H4" s="1" t="s">
        <v>62</v>
      </c>
    </row>
    <row r="5" spans="3:8" ht="15.75" customHeight="1" x14ac:dyDescent="0.15">
      <c r="C5" s="2">
        <v>1</v>
      </c>
      <c r="D5" s="2">
        <v>8513114</v>
      </c>
      <c r="E5" s="2">
        <v>3218476</v>
      </c>
      <c r="F5" s="2">
        <v>1906192</v>
      </c>
      <c r="G5" s="2">
        <v>1779858</v>
      </c>
      <c r="H5" s="2">
        <v>1781299</v>
      </c>
    </row>
    <row r="6" spans="3:8" ht="15.75" customHeight="1" x14ac:dyDescent="0.15">
      <c r="C6" s="2">
        <f t="shared" ref="C6:C34" si="0">C5+1</f>
        <v>2</v>
      </c>
      <c r="D6" s="2">
        <v>8515784</v>
      </c>
      <c r="E6" s="2">
        <v>4197807</v>
      </c>
      <c r="F6" s="2">
        <v>1820034</v>
      </c>
      <c r="G6" s="2">
        <v>1823687</v>
      </c>
      <c r="H6" s="2">
        <v>1792858</v>
      </c>
    </row>
    <row r="7" spans="3:8" ht="15.75" customHeight="1" x14ac:dyDescent="0.15">
      <c r="C7" s="2">
        <f t="shared" si="0"/>
        <v>3</v>
      </c>
      <c r="D7" s="2">
        <v>7618599</v>
      </c>
      <c r="E7" s="2">
        <v>4134265</v>
      </c>
      <c r="F7" s="2">
        <v>1894757</v>
      </c>
      <c r="G7" s="2">
        <v>1806506</v>
      </c>
      <c r="H7" s="2">
        <v>1688810</v>
      </c>
    </row>
    <row r="8" spans="3:8" ht="15.75" customHeight="1" x14ac:dyDescent="0.15">
      <c r="C8" s="2">
        <f t="shared" si="0"/>
        <v>4</v>
      </c>
      <c r="D8" s="2">
        <v>8563043</v>
      </c>
      <c r="E8" s="2">
        <v>3956767</v>
      </c>
      <c r="F8" s="2">
        <v>1887646</v>
      </c>
      <c r="G8" s="2">
        <v>1827690</v>
      </c>
      <c r="H8" s="2">
        <v>1802178</v>
      </c>
    </row>
    <row r="9" spans="3:8" ht="15.75" customHeight="1" x14ac:dyDescent="0.15">
      <c r="C9" s="2">
        <f t="shared" si="0"/>
        <v>5</v>
      </c>
      <c r="D9" s="2">
        <v>8534889</v>
      </c>
      <c r="E9" s="2">
        <v>4154386</v>
      </c>
      <c r="F9" s="2">
        <v>1876361</v>
      </c>
      <c r="G9" s="2">
        <v>1812635</v>
      </c>
      <c r="H9" s="2">
        <v>1788836</v>
      </c>
    </row>
    <row r="10" spans="3:8" ht="15.75" customHeight="1" x14ac:dyDescent="0.15">
      <c r="C10" s="2">
        <f t="shared" si="0"/>
        <v>6</v>
      </c>
      <c r="D10" s="2">
        <v>8608057</v>
      </c>
      <c r="E10" s="2">
        <v>4095715</v>
      </c>
      <c r="F10" s="2">
        <v>1898026</v>
      </c>
      <c r="G10" s="2">
        <v>1795917</v>
      </c>
      <c r="H10" s="2">
        <v>1801412</v>
      </c>
    </row>
    <row r="11" spans="3:8" ht="15.75" customHeight="1" x14ac:dyDescent="0.15">
      <c r="C11" s="2">
        <f t="shared" si="0"/>
        <v>7</v>
      </c>
      <c r="D11" s="2">
        <v>8498981</v>
      </c>
      <c r="E11" s="2">
        <v>4061516</v>
      </c>
      <c r="F11" s="2">
        <v>1838496</v>
      </c>
      <c r="G11" s="2">
        <v>1796344</v>
      </c>
      <c r="H11" s="2">
        <v>1792097</v>
      </c>
    </row>
    <row r="12" spans="3:8" ht="15.75" customHeight="1" x14ac:dyDescent="0.15">
      <c r="C12" s="2">
        <f t="shared" si="0"/>
        <v>8</v>
      </c>
      <c r="D12" s="2">
        <v>6694900</v>
      </c>
      <c r="E12" s="2">
        <v>4144784</v>
      </c>
      <c r="F12" s="2">
        <v>1897818</v>
      </c>
      <c r="G12" s="2">
        <v>1808590</v>
      </c>
      <c r="H12" s="2">
        <v>1781155</v>
      </c>
    </row>
    <row r="13" spans="3:8" ht="15.75" customHeight="1" x14ac:dyDescent="0.15">
      <c r="C13" s="2">
        <f t="shared" si="0"/>
        <v>9</v>
      </c>
      <c r="D13" s="2">
        <v>8607803</v>
      </c>
      <c r="E13" s="2">
        <v>4113058</v>
      </c>
      <c r="F13" s="2">
        <v>1918594</v>
      </c>
      <c r="G13" s="2">
        <v>1778076</v>
      </c>
      <c r="H13" s="2">
        <v>1664397</v>
      </c>
    </row>
    <row r="14" spans="3:8" ht="15.75" customHeight="1" x14ac:dyDescent="0.15">
      <c r="C14" s="2">
        <f t="shared" si="0"/>
        <v>10</v>
      </c>
      <c r="D14" s="2">
        <v>8514673</v>
      </c>
      <c r="E14" s="2">
        <v>4029377</v>
      </c>
      <c r="F14" s="2">
        <v>1877661</v>
      </c>
      <c r="G14" s="2">
        <v>1820211</v>
      </c>
      <c r="H14" s="2">
        <v>1573135</v>
      </c>
    </row>
    <row r="15" spans="3:8" ht="15.75" customHeight="1" x14ac:dyDescent="0.15">
      <c r="C15" s="2">
        <f t="shared" si="0"/>
        <v>11</v>
      </c>
      <c r="D15" s="2">
        <v>8478090</v>
      </c>
      <c r="E15" s="2">
        <v>4182776</v>
      </c>
      <c r="F15" s="2">
        <v>1901060</v>
      </c>
      <c r="G15" s="2">
        <v>1813077</v>
      </c>
      <c r="H15" s="2">
        <v>1793203</v>
      </c>
    </row>
    <row r="16" spans="3:8" ht="15.75" customHeight="1" x14ac:dyDescent="0.15">
      <c r="C16" s="2">
        <f t="shared" si="0"/>
        <v>12</v>
      </c>
      <c r="D16" s="2">
        <v>8556208</v>
      </c>
      <c r="E16" s="2">
        <v>3890214</v>
      </c>
      <c r="F16" s="2">
        <v>1885309</v>
      </c>
      <c r="G16" s="2">
        <v>1724367</v>
      </c>
      <c r="H16" s="2">
        <v>1807556</v>
      </c>
    </row>
    <row r="17" spans="3:8" ht="15.75" customHeight="1" x14ac:dyDescent="0.15">
      <c r="C17" s="2">
        <f t="shared" si="0"/>
        <v>13</v>
      </c>
      <c r="D17" s="2">
        <v>8524524</v>
      </c>
      <c r="E17" s="2">
        <v>3636637</v>
      </c>
      <c r="F17" s="2">
        <v>1922620</v>
      </c>
      <c r="G17" s="2">
        <v>1794615</v>
      </c>
      <c r="H17" s="2">
        <v>1756813</v>
      </c>
    </row>
    <row r="18" spans="3:8" ht="15.75" customHeight="1" x14ac:dyDescent="0.15">
      <c r="C18" s="2">
        <f t="shared" si="0"/>
        <v>14</v>
      </c>
      <c r="D18" s="2">
        <v>6565610</v>
      </c>
      <c r="E18" s="2">
        <v>4040160</v>
      </c>
      <c r="F18" s="2">
        <v>1889434</v>
      </c>
      <c r="G18" s="2">
        <v>1797619</v>
      </c>
      <c r="H18" s="2">
        <v>1684056</v>
      </c>
    </row>
    <row r="19" spans="3:8" ht="15.75" customHeight="1" x14ac:dyDescent="0.15">
      <c r="C19" s="2">
        <f t="shared" si="0"/>
        <v>15</v>
      </c>
      <c r="D19" s="2">
        <v>8507820</v>
      </c>
      <c r="E19" s="2">
        <v>3952825</v>
      </c>
      <c r="F19" s="2">
        <v>1890576</v>
      </c>
      <c r="G19" s="2">
        <v>1832257</v>
      </c>
      <c r="H19" s="2">
        <v>1792569</v>
      </c>
    </row>
    <row r="20" spans="3:8" ht="15.75" customHeight="1" x14ac:dyDescent="0.15">
      <c r="C20" s="2">
        <f t="shared" si="0"/>
        <v>16</v>
      </c>
      <c r="D20" s="2">
        <v>8540680</v>
      </c>
      <c r="E20" s="2">
        <v>4044659</v>
      </c>
      <c r="F20" s="2">
        <v>1904337</v>
      </c>
      <c r="G20" s="2">
        <v>1819100</v>
      </c>
      <c r="H20" s="2">
        <v>1745022</v>
      </c>
    </row>
    <row r="21" spans="3:8" ht="15.75" customHeight="1" x14ac:dyDescent="0.15">
      <c r="C21" s="2">
        <f t="shared" si="0"/>
        <v>17</v>
      </c>
      <c r="D21" s="2">
        <v>8515744</v>
      </c>
      <c r="E21" s="2">
        <v>4115228</v>
      </c>
      <c r="F21" s="2">
        <v>1884539</v>
      </c>
      <c r="G21" s="2">
        <v>1823827</v>
      </c>
      <c r="H21" s="2">
        <v>1570351</v>
      </c>
    </row>
    <row r="22" spans="3:8" ht="15.75" customHeight="1" x14ac:dyDescent="0.15">
      <c r="C22" s="2">
        <f t="shared" si="0"/>
        <v>18</v>
      </c>
      <c r="D22" s="2">
        <v>8587083</v>
      </c>
      <c r="E22" s="2">
        <v>4069823</v>
      </c>
      <c r="F22" s="2">
        <v>1878227</v>
      </c>
      <c r="G22" s="2">
        <v>1676956</v>
      </c>
      <c r="H22" s="2">
        <v>1808188</v>
      </c>
    </row>
    <row r="23" spans="3:8" ht="15.75" customHeight="1" x14ac:dyDescent="0.15">
      <c r="C23" s="2">
        <f t="shared" si="0"/>
        <v>19</v>
      </c>
      <c r="D23" s="2">
        <v>8574001</v>
      </c>
      <c r="E23" s="2">
        <v>4062386</v>
      </c>
      <c r="F23" s="2">
        <v>1884012</v>
      </c>
      <c r="G23" s="2">
        <v>1786848</v>
      </c>
      <c r="H23" s="2">
        <v>1664322</v>
      </c>
    </row>
    <row r="24" spans="3:8" ht="15.75" customHeight="1" x14ac:dyDescent="0.15">
      <c r="C24" s="2">
        <f t="shared" si="0"/>
        <v>20</v>
      </c>
      <c r="D24" s="2">
        <v>8593005</v>
      </c>
      <c r="E24" s="2">
        <v>4081785</v>
      </c>
      <c r="F24" s="2">
        <v>1909838</v>
      </c>
      <c r="G24" s="2">
        <v>1789418</v>
      </c>
      <c r="H24" s="2">
        <v>1784785</v>
      </c>
    </row>
    <row r="25" spans="3:8" ht="15.75" customHeight="1" x14ac:dyDescent="0.15">
      <c r="C25" s="2">
        <f t="shared" si="0"/>
        <v>21</v>
      </c>
      <c r="D25" s="2">
        <v>8545323</v>
      </c>
      <c r="E25" s="2">
        <v>4116004</v>
      </c>
      <c r="F25" s="2">
        <v>1877176</v>
      </c>
      <c r="G25" s="2">
        <v>1788257</v>
      </c>
      <c r="H25" s="2">
        <v>1793408</v>
      </c>
    </row>
    <row r="26" spans="3:8" ht="15.75" customHeight="1" x14ac:dyDescent="0.15">
      <c r="C26" s="2">
        <f t="shared" si="0"/>
        <v>22</v>
      </c>
      <c r="D26" s="2">
        <v>8473102</v>
      </c>
      <c r="E26" s="2">
        <v>4134256</v>
      </c>
      <c r="F26" s="2">
        <v>1875196</v>
      </c>
      <c r="G26" s="2">
        <v>1794652</v>
      </c>
      <c r="H26" s="2">
        <v>1772426</v>
      </c>
    </row>
    <row r="27" spans="3:8" ht="15.75" customHeight="1" x14ac:dyDescent="0.15">
      <c r="C27" s="2">
        <f t="shared" si="0"/>
        <v>23</v>
      </c>
      <c r="D27" s="2">
        <v>8160410</v>
      </c>
      <c r="E27" s="2">
        <v>4139452</v>
      </c>
      <c r="F27" s="2">
        <v>1839407</v>
      </c>
      <c r="G27" s="2">
        <v>1758534</v>
      </c>
      <c r="H27" s="2">
        <v>1664041</v>
      </c>
    </row>
    <row r="28" spans="3:8" ht="15.75" customHeight="1" x14ac:dyDescent="0.15">
      <c r="C28" s="2">
        <f t="shared" si="0"/>
        <v>24</v>
      </c>
      <c r="D28" s="2">
        <v>8586911</v>
      </c>
      <c r="E28" s="2">
        <v>4253682</v>
      </c>
      <c r="F28" s="2">
        <v>1890166</v>
      </c>
      <c r="G28" s="2">
        <v>1831112</v>
      </c>
      <c r="H28" s="2">
        <v>1748650</v>
      </c>
    </row>
    <row r="29" spans="3:8" ht="15.75" customHeight="1" x14ac:dyDescent="0.15">
      <c r="C29" s="2">
        <f t="shared" si="0"/>
        <v>25</v>
      </c>
      <c r="D29" s="2">
        <v>8327637</v>
      </c>
      <c r="E29" s="2">
        <v>4082614</v>
      </c>
      <c r="F29" s="2">
        <v>1909544</v>
      </c>
      <c r="G29" s="2">
        <v>1804491</v>
      </c>
      <c r="H29" s="2">
        <v>1693690</v>
      </c>
    </row>
    <row r="30" spans="3:8" ht="15.75" customHeight="1" x14ac:dyDescent="0.15">
      <c r="C30" s="2">
        <f t="shared" si="0"/>
        <v>26</v>
      </c>
      <c r="D30" s="2">
        <v>8630728</v>
      </c>
      <c r="E30" s="2">
        <v>4034589</v>
      </c>
      <c r="F30" s="2">
        <v>1933706</v>
      </c>
      <c r="G30" s="2">
        <v>1836686</v>
      </c>
      <c r="H30" s="2">
        <v>1675697</v>
      </c>
    </row>
    <row r="31" spans="3:8" ht="15.75" customHeight="1" x14ac:dyDescent="0.15">
      <c r="C31" s="2">
        <f t="shared" si="0"/>
        <v>27</v>
      </c>
      <c r="D31" s="2">
        <v>8677030</v>
      </c>
      <c r="E31" s="2">
        <v>4102775</v>
      </c>
      <c r="F31" s="2">
        <v>1958967</v>
      </c>
      <c r="G31" s="2">
        <v>2430869</v>
      </c>
      <c r="H31" s="2">
        <v>1715245</v>
      </c>
    </row>
    <row r="32" spans="3:8" ht="15.75" customHeight="1" x14ac:dyDescent="0.15">
      <c r="C32" s="2">
        <f t="shared" si="0"/>
        <v>28</v>
      </c>
      <c r="D32" s="2">
        <v>8343785</v>
      </c>
      <c r="E32" s="2">
        <v>4130295</v>
      </c>
      <c r="F32" s="2">
        <v>1875910</v>
      </c>
      <c r="G32" s="2">
        <v>2134805</v>
      </c>
      <c r="H32" s="2">
        <v>1693597</v>
      </c>
    </row>
    <row r="33" spans="3:8" ht="15.75" customHeight="1" x14ac:dyDescent="0.15">
      <c r="C33" s="2">
        <f t="shared" si="0"/>
        <v>29</v>
      </c>
      <c r="D33" s="2">
        <v>8548683</v>
      </c>
      <c r="E33" s="2">
        <v>4251697</v>
      </c>
      <c r="F33" s="2">
        <v>1904354</v>
      </c>
      <c r="G33" s="2">
        <v>1701363</v>
      </c>
      <c r="H33" s="2">
        <v>1690526</v>
      </c>
    </row>
    <row r="34" spans="3:8" ht="15.75" customHeight="1" x14ac:dyDescent="0.15">
      <c r="C34" s="2">
        <f t="shared" si="0"/>
        <v>30</v>
      </c>
      <c r="D34" s="2">
        <v>8652149</v>
      </c>
      <c r="E34" s="2">
        <v>4011152</v>
      </c>
      <c r="F34" s="2">
        <v>1917009</v>
      </c>
      <c r="G34" s="2">
        <v>1669154</v>
      </c>
      <c r="H34" s="2">
        <v>1577420</v>
      </c>
    </row>
    <row r="35" spans="3:8" ht="15.75" customHeight="1" x14ac:dyDescent="0.15">
      <c r="C35" s="1" t="s">
        <v>15</v>
      </c>
      <c r="D35" s="2">
        <f t="shared" ref="D35:H35" si="1">AVERAGE(D5:D34)</f>
        <v>8368612.2000000002</v>
      </c>
      <c r="E35" s="2">
        <f t="shared" si="1"/>
        <v>4047972</v>
      </c>
      <c r="F35" s="2">
        <f t="shared" si="1"/>
        <v>1891565.7333333334</v>
      </c>
      <c r="G35" s="2">
        <f t="shared" si="1"/>
        <v>1821917.3666666667</v>
      </c>
      <c r="H35" s="2">
        <f t="shared" si="1"/>
        <v>1729924.7333333334</v>
      </c>
    </row>
    <row r="36" spans="3:8" ht="15.75" customHeight="1" x14ac:dyDescent="0.15">
      <c r="C36" s="1" t="s">
        <v>16</v>
      </c>
      <c r="D36" s="2">
        <f t="shared" ref="D36:H36" si="2">STDEV(D5:D34)</f>
        <v>510915.01438911975</v>
      </c>
      <c r="E36" s="2">
        <f t="shared" si="2"/>
        <v>194628.82584869431</v>
      </c>
      <c r="F36" s="2">
        <f t="shared" si="2"/>
        <v>27658.34277571327</v>
      </c>
      <c r="G36" s="2">
        <f t="shared" si="2"/>
        <v>138090.56413804807</v>
      </c>
      <c r="H36" s="2">
        <f t="shared" si="2"/>
        <v>72989.70073634779</v>
      </c>
    </row>
    <row r="40" spans="3:8" ht="15.75" customHeight="1" x14ac:dyDescent="0.15">
      <c r="D40" s="1" t="s">
        <v>7</v>
      </c>
      <c r="E40" s="1" t="s">
        <v>8</v>
      </c>
      <c r="F40" s="1" t="s">
        <v>47</v>
      </c>
    </row>
    <row r="41" spans="3:8" ht="15.75" customHeight="1" x14ac:dyDescent="0.15">
      <c r="D41" s="2">
        <f>STDEV(D5:D34)</f>
        <v>510915.01438911975</v>
      </c>
      <c r="E41" s="2">
        <f>AVERAGE(D5:D34)</f>
        <v>8368612.2000000002</v>
      </c>
      <c r="F41" s="2">
        <v>1</v>
      </c>
    </row>
    <row r="42" spans="3:8" ht="15.75" customHeight="1" x14ac:dyDescent="0.15">
      <c r="D42" s="2">
        <f>STDEV(E5:E34)</f>
        <v>194628.82584869431</v>
      </c>
      <c r="E42" s="2">
        <f>AVERAGE(E5:E34)</f>
        <v>4047972</v>
      </c>
      <c r="F42" s="2">
        <v>2</v>
      </c>
    </row>
    <row r="43" spans="3:8" ht="15.75" customHeight="1" x14ac:dyDescent="0.15">
      <c r="D43" s="2">
        <f>STDEV(F5:F34)</f>
        <v>27658.34277571327</v>
      </c>
      <c r="E43" s="2">
        <f>AVERAGE(F5:F34)</f>
        <v>1891565.7333333334</v>
      </c>
      <c r="F43" s="2">
        <v>4</v>
      </c>
    </row>
    <row r="44" spans="3:8" ht="15.75" customHeight="1" x14ac:dyDescent="0.15">
      <c r="D44" s="2">
        <f>STDEV(G5:G34)</f>
        <v>138090.56413804807</v>
      </c>
      <c r="E44" s="2">
        <f>AVERAGE(G5:G34)</f>
        <v>1821917.3666666667</v>
      </c>
      <c r="F44" s="2">
        <v>8</v>
      </c>
    </row>
    <row r="45" spans="3:8" ht="15.75" customHeight="1" x14ac:dyDescent="0.15">
      <c r="D45" s="2">
        <f>STDEV(H5:H34)</f>
        <v>72989.70073634779</v>
      </c>
      <c r="E45" s="2">
        <f>AVERAGE(H5:H34)</f>
        <v>1729924.7333333334</v>
      </c>
      <c r="F45" s="2">
        <v>12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C3:H46"/>
  <sheetViews>
    <sheetView workbookViewId="0"/>
  </sheetViews>
  <sheetFormatPr baseColWidth="10" defaultColWidth="12.6640625" defaultRowHeight="15.75" customHeight="1" x14ac:dyDescent="0.15"/>
  <cols>
    <col min="4" max="4" width="27.83203125" customWidth="1"/>
    <col min="5" max="5" width="27.5" customWidth="1"/>
    <col min="6" max="6" width="31.1640625" customWidth="1"/>
    <col min="7" max="7" width="27.1640625" customWidth="1"/>
    <col min="8" max="8" width="24.33203125" customWidth="1"/>
  </cols>
  <sheetData>
    <row r="3" spans="3:8" ht="15.75" customHeight="1" x14ac:dyDescent="0.15">
      <c r="C3" s="1"/>
      <c r="D3" s="1" t="s">
        <v>63</v>
      </c>
      <c r="E3" s="1" t="s">
        <v>64</v>
      </c>
      <c r="F3" s="1" t="s">
        <v>65</v>
      </c>
      <c r="G3" s="1" t="s">
        <v>66</v>
      </c>
      <c r="H3" s="1" t="s">
        <v>67</v>
      </c>
    </row>
    <row r="4" spans="3:8" ht="15.75" customHeight="1" x14ac:dyDescent="0.15">
      <c r="C4" s="2">
        <v>1</v>
      </c>
      <c r="D4" s="2">
        <v>20092255</v>
      </c>
      <c r="E4" s="2">
        <v>9194860</v>
      </c>
      <c r="F4" s="2">
        <v>4753020</v>
      </c>
      <c r="G4" s="2">
        <v>3841517</v>
      </c>
      <c r="H4" s="2">
        <v>3797107</v>
      </c>
    </row>
    <row r="5" spans="3:8" ht="15.75" customHeight="1" x14ac:dyDescent="0.15">
      <c r="C5" s="2">
        <f t="shared" ref="C5:C33" si="0">C4+1</f>
        <v>2</v>
      </c>
      <c r="D5" s="2">
        <v>20377370</v>
      </c>
      <c r="E5" s="2">
        <v>9219832</v>
      </c>
      <c r="F5" s="2">
        <v>4793042</v>
      </c>
      <c r="G5" s="2">
        <v>3875611</v>
      </c>
      <c r="H5" s="2">
        <v>3743640</v>
      </c>
    </row>
    <row r="6" spans="3:8" ht="15.75" customHeight="1" x14ac:dyDescent="0.15">
      <c r="C6" s="2">
        <f t="shared" si="0"/>
        <v>3</v>
      </c>
      <c r="D6" s="2">
        <v>19944533</v>
      </c>
      <c r="E6" s="2">
        <v>9997161</v>
      </c>
      <c r="F6" s="2">
        <v>4775758</v>
      </c>
      <c r="G6" s="2">
        <v>3911625</v>
      </c>
      <c r="H6" s="2">
        <v>3777160</v>
      </c>
    </row>
    <row r="7" spans="3:8" ht="15.75" customHeight="1" x14ac:dyDescent="0.15">
      <c r="C7" s="2">
        <f t="shared" si="0"/>
        <v>4</v>
      </c>
      <c r="D7" s="2">
        <v>19716291</v>
      </c>
      <c r="E7" s="2">
        <v>9848432</v>
      </c>
      <c r="F7" s="2">
        <v>4168768</v>
      </c>
      <c r="G7" s="2">
        <v>3886320</v>
      </c>
      <c r="H7" s="2">
        <v>3760463</v>
      </c>
    </row>
    <row r="8" spans="3:8" ht="15.75" customHeight="1" x14ac:dyDescent="0.15">
      <c r="C8" s="2">
        <f t="shared" si="0"/>
        <v>5</v>
      </c>
      <c r="D8" s="2">
        <v>19221393</v>
      </c>
      <c r="E8" s="2">
        <v>9834425</v>
      </c>
      <c r="F8" s="2">
        <v>4208222</v>
      </c>
      <c r="G8" s="2">
        <v>3971228</v>
      </c>
      <c r="H8" s="2">
        <v>3888181</v>
      </c>
    </row>
    <row r="9" spans="3:8" ht="15.75" customHeight="1" x14ac:dyDescent="0.15">
      <c r="C9" s="2">
        <f t="shared" si="0"/>
        <v>6</v>
      </c>
      <c r="D9" s="2">
        <v>19622776</v>
      </c>
      <c r="E9" s="2">
        <v>10040725</v>
      </c>
      <c r="F9" s="2">
        <v>4801039</v>
      </c>
      <c r="G9" s="2">
        <v>3752712</v>
      </c>
      <c r="H9" s="2">
        <v>3611357</v>
      </c>
    </row>
    <row r="10" spans="3:8" ht="15.75" customHeight="1" x14ac:dyDescent="0.15">
      <c r="C10" s="2">
        <f t="shared" si="0"/>
        <v>7</v>
      </c>
      <c r="D10" s="2">
        <v>19664369</v>
      </c>
      <c r="E10" s="2">
        <v>10090311</v>
      </c>
      <c r="F10" s="2">
        <v>4813824</v>
      </c>
      <c r="G10" s="2">
        <v>3889038</v>
      </c>
      <c r="H10" s="2">
        <v>3686711</v>
      </c>
    </row>
    <row r="11" spans="3:8" ht="15.75" customHeight="1" x14ac:dyDescent="0.15">
      <c r="C11" s="2">
        <f t="shared" si="0"/>
        <v>8</v>
      </c>
      <c r="D11" s="2">
        <v>20550630</v>
      </c>
      <c r="E11" s="2">
        <v>10129319</v>
      </c>
      <c r="F11" s="2">
        <v>4808590</v>
      </c>
      <c r="G11" s="2">
        <v>3961575</v>
      </c>
      <c r="H11" s="2">
        <v>3743755</v>
      </c>
    </row>
    <row r="12" spans="3:8" ht="15.75" customHeight="1" x14ac:dyDescent="0.15">
      <c r="C12" s="2">
        <f t="shared" si="0"/>
        <v>9</v>
      </c>
      <c r="D12" s="2">
        <v>18980060</v>
      </c>
      <c r="E12" s="2">
        <v>9981056</v>
      </c>
      <c r="F12" s="2">
        <v>4885633</v>
      </c>
      <c r="G12" s="2">
        <v>3891169</v>
      </c>
      <c r="H12" s="2">
        <v>3651217</v>
      </c>
    </row>
    <row r="13" spans="3:8" ht="15.75" customHeight="1" x14ac:dyDescent="0.15">
      <c r="C13" s="2">
        <f t="shared" si="0"/>
        <v>10</v>
      </c>
      <c r="D13" s="2">
        <v>20059260</v>
      </c>
      <c r="E13" s="2">
        <v>9852477</v>
      </c>
      <c r="F13" s="2">
        <v>4134244</v>
      </c>
      <c r="G13" s="2">
        <v>3741846</v>
      </c>
      <c r="H13" s="2">
        <v>3541525</v>
      </c>
    </row>
    <row r="14" spans="3:8" ht="15.75" customHeight="1" x14ac:dyDescent="0.15">
      <c r="C14" s="2">
        <f t="shared" si="0"/>
        <v>11</v>
      </c>
      <c r="D14" s="2">
        <v>19566046</v>
      </c>
      <c r="E14" s="2">
        <v>10014680</v>
      </c>
      <c r="F14" s="2">
        <v>4121055</v>
      </c>
      <c r="G14" s="2">
        <v>3880918</v>
      </c>
      <c r="H14" s="2">
        <v>3583836</v>
      </c>
    </row>
    <row r="15" spans="3:8" ht="15.75" customHeight="1" x14ac:dyDescent="0.15">
      <c r="C15" s="2">
        <f t="shared" si="0"/>
        <v>12</v>
      </c>
      <c r="D15" s="2">
        <v>19955121</v>
      </c>
      <c r="E15" s="2">
        <v>10201707</v>
      </c>
      <c r="F15" s="2">
        <v>4231841</v>
      </c>
      <c r="G15" s="2">
        <v>3985648</v>
      </c>
      <c r="H15" s="2">
        <v>3736340</v>
      </c>
    </row>
    <row r="16" spans="3:8" ht="15.75" customHeight="1" x14ac:dyDescent="0.15">
      <c r="C16" s="2">
        <f t="shared" si="0"/>
        <v>13</v>
      </c>
      <c r="D16" s="2">
        <v>19977968</v>
      </c>
      <c r="E16" s="2">
        <v>10021330</v>
      </c>
      <c r="F16" s="2">
        <v>4815099</v>
      </c>
      <c r="G16" s="2">
        <v>3787722</v>
      </c>
      <c r="H16" s="2">
        <v>3679389</v>
      </c>
    </row>
    <row r="17" spans="3:8" ht="15.75" customHeight="1" x14ac:dyDescent="0.15">
      <c r="C17" s="2">
        <f t="shared" si="0"/>
        <v>14</v>
      </c>
      <c r="D17" s="2">
        <v>20660185</v>
      </c>
      <c r="E17" s="2">
        <v>10034730</v>
      </c>
      <c r="F17" s="2">
        <v>4776539</v>
      </c>
      <c r="G17" s="2">
        <v>3917985</v>
      </c>
      <c r="H17" s="2">
        <v>3779557</v>
      </c>
    </row>
    <row r="18" spans="3:8" ht="15.75" customHeight="1" x14ac:dyDescent="0.15">
      <c r="C18" s="2">
        <f t="shared" si="0"/>
        <v>15</v>
      </c>
      <c r="D18" s="2">
        <v>18918773</v>
      </c>
      <c r="E18" s="2">
        <v>9205152</v>
      </c>
      <c r="F18" s="2">
        <v>4799371</v>
      </c>
      <c r="G18" s="2">
        <v>3868438</v>
      </c>
      <c r="H18" s="2">
        <v>3788059</v>
      </c>
    </row>
    <row r="19" spans="3:8" ht="15.75" customHeight="1" x14ac:dyDescent="0.15">
      <c r="C19" s="2">
        <f t="shared" si="0"/>
        <v>16</v>
      </c>
      <c r="D19" s="2">
        <v>17391463</v>
      </c>
      <c r="E19" s="2">
        <v>9259663</v>
      </c>
      <c r="F19" s="2">
        <v>4733405</v>
      </c>
      <c r="G19" s="2">
        <v>3775147</v>
      </c>
      <c r="H19" s="2">
        <v>3615243</v>
      </c>
    </row>
    <row r="20" spans="3:8" ht="15.75" customHeight="1" x14ac:dyDescent="0.15">
      <c r="C20" s="2">
        <f t="shared" si="0"/>
        <v>17</v>
      </c>
      <c r="D20" s="2">
        <v>20694406</v>
      </c>
      <c r="E20" s="2">
        <v>9260294</v>
      </c>
      <c r="F20" s="2">
        <v>4154868</v>
      </c>
      <c r="G20" s="2">
        <v>3669943</v>
      </c>
      <c r="H20" s="2">
        <v>3607074</v>
      </c>
    </row>
    <row r="21" spans="3:8" ht="15.75" customHeight="1" x14ac:dyDescent="0.15">
      <c r="C21" s="2">
        <f t="shared" si="0"/>
        <v>18</v>
      </c>
      <c r="D21" s="2">
        <v>19780535</v>
      </c>
      <c r="E21" s="2">
        <v>9851729</v>
      </c>
      <c r="F21" s="2">
        <v>4159113</v>
      </c>
      <c r="G21" s="2">
        <v>3931815</v>
      </c>
      <c r="H21" s="2">
        <v>3762600</v>
      </c>
    </row>
    <row r="22" spans="3:8" ht="15.75" customHeight="1" x14ac:dyDescent="0.15">
      <c r="C22" s="2">
        <f t="shared" si="0"/>
        <v>19</v>
      </c>
      <c r="D22" s="2">
        <v>18999021</v>
      </c>
      <c r="E22" s="2">
        <v>8965185</v>
      </c>
      <c r="F22" s="2">
        <v>4135776</v>
      </c>
      <c r="G22" s="2">
        <v>3706529</v>
      </c>
      <c r="H22" s="2">
        <v>3527394</v>
      </c>
    </row>
    <row r="23" spans="3:8" ht="15.75" customHeight="1" x14ac:dyDescent="0.15">
      <c r="C23" s="2">
        <f t="shared" si="0"/>
        <v>20</v>
      </c>
      <c r="D23" s="2">
        <v>17772375</v>
      </c>
      <c r="E23" s="2">
        <v>10028166</v>
      </c>
      <c r="F23" s="2">
        <v>4893738</v>
      </c>
      <c r="G23" s="2">
        <v>3767353</v>
      </c>
      <c r="H23" s="2">
        <v>3761221</v>
      </c>
    </row>
    <row r="24" spans="3:8" ht="15.75" customHeight="1" x14ac:dyDescent="0.15">
      <c r="C24" s="2">
        <f t="shared" si="0"/>
        <v>21</v>
      </c>
      <c r="D24" s="2">
        <v>19570470</v>
      </c>
      <c r="E24" s="2">
        <v>10042270</v>
      </c>
      <c r="F24" s="2">
        <v>4858352</v>
      </c>
      <c r="G24" s="2">
        <v>3864802</v>
      </c>
      <c r="H24" s="2">
        <v>3764157</v>
      </c>
    </row>
    <row r="25" spans="3:8" ht="15.75" customHeight="1" x14ac:dyDescent="0.15">
      <c r="C25" s="2">
        <f t="shared" si="0"/>
        <v>22</v>
      </c>
      <c r="D25" s="2">
        <v>19706005</v>
      </c>
      <c r="E25" s="2">
        <v>10094571</v>
      </c>
      <c r="F25" s="2">
        <v>4813878</v>
      </c>
      <c r="G25" s="2">
        <v>3714273</v>
      </c>
      <c r="H25" s="2">
        <v>3608246</v>
      </c>
    </row>
    <row r="26" spans="3:8" ht="15.75" customHeight="1" x14ac:dyDescent="0.15">
      <c r="C26" s="2">
        <f t="shared" si="0"/>
        <v>23</v>
      </c>
      <c r="D26" s="2">
        <v>19883330</v>
      </c>
      <c r="E26" s="2">
        <v>10158191</v>
      </c>
      <c r="F26" s="2">
        <v>4833240</v>
      </c>
      <c r="G26" s="2">
        <v>3865989</v>
      </c>
      <c r="H26" s="2">
        <v>3694762</v>
      </c>
    </row>
    <row r="27" spans="3:8" ht="15.75" customHeight="1" x14ac:dyDescent="0.15">
      <c r="C27" s="2">
        <f t="shared" si="0"/>
        <v>24</v>
      </c>
      <c r="D27" s="2">
        <v>20762128</v>
      </c>
      <c r="E27" s="2">
        <v>9952897</v>
      </c>
      <c r="F27" s="2">
        <v>4784938</v>
      </c>
      <c r="G27" s="2">
        <v>3837029</v>
      </c>
      <c r="H27" s="2">
        <v>3738885</v>
      </c>
    </row>
    <row r="28" spans="3:8" ht="15.75" customHeight="1" x14ac:dyDescent="0.15">
      <c r="C28" s="2">
        <f t="shared" si="0"/>
        <v>25</v>
      </c>
      <c r="D28" s="2">
        <v>19644492</v>
      </c>
      <c r="E28" s="2">
        <v>10226130</v>
      </c>
      <c r="F28" s="2">
        <v>4821785</v>
      </c>
      <c r="G28" s="2">
        <v>3958093</v>
      </c>
      <c r="H28" s="2">
        <v>3726050</v>
      </c>
    </row>
    <row r="29" spans="3:8" ht="15.75" customHeight="1" x14ac:dyDescent="0.15">
      <c r="C29" s="2">
        <f t="shared" si="0"/>
        <v>26</v>
      </c>
      <c r="D29" s="2">
        <v>20389245</v>
      </c>
      <c r="E29" s="2">
        <v>9854798</v>
      </c>
      <c r="F29" s="2">
        <v>4807791</v>
      </c>
      <c r="G29" s="2">
        <v>3830056</v>
      </c>
      <c r="H29" s="2">
        <v>3751343</v>
      </c>
    </row>
    <row r="30" spans="3:8" ht="15.75" customHeight="1" x14ac:dyDescent="0.15">
      <c r="C30" s="2">
        <f t="shared" si="0"/>
        <v>27</v>
      </c>
      <c r="D30" s="2">
        <v>20875172</v>
      </c>
      <c r="E30" s="2">
        <v>9064351</v>
      </c>
      <c r="F30" s="2">
        <v>4540617</v>
      </c>
      <c r="G30" s="2">
        <v>4025451</v>
      </c>
      <c r="H30" s="2">
        <v>3746508</v>
      </c>
    </row>
    <row r="31" spans="3:8" ht="15.75" customHeight="1" x14ac:dyDescent="0.15">
      <c r="C31" s="2">
        <f t="shared" si="0"/>
        <v>28</v>
      </c>
      <c r="D31" s="2">
        <v>20842004</v>
      </c>
      <c r="E31" s="2">
        <v>10059125</v>
      </c>
      <c r="F31" s="2">
        <v>4755111</v>
      </c>
      <c r="G31" s="2">
        <v>3836576</v>
      </c>
      <c r="H31" s="2">
        <v>3755874</v>
      </c>
    </row>
    <row r="32" spans="3:8" ht="15.75" customHeight="1" x14ac:dyDescent="0.15">
      <c r="C32" s="2">
        <f t="shared" si="0"/>
        <v>29</v>
      </c>
      <c r="D32" s="2">
        <v>19617244</v>
      </c>
      <c r="E32" s="2">
        <v>10091301</v>
      </c>
      <c r="F32" s="2">
        <v>4859159</v>
      </c>
      <c r="G32" s="2">
        <v>3902979</v>
      </c>
      <c r="H32" s="2">
        <v>3764232</v>
      </c>
    </row>
    <row r="33" spans="3:8" ht="15.75" customHeight="1" x14ac:dyDescent="0.15">
      <c r="C33" s="2">
        <f t="shared" si="0"/>
        <v>30</v>
      </c>
      <c r="D33" s="2">
        <v>19773647</v>
      </c>
      <c r="E33" s="2">
        <v>10106583</v>
      </c>
      <c r="F33" s="2">
        <v>4156214</v>
      </c>
      <c r="G33" s="2">
        <v>3723238</v>
      </c>
      <c r="H33" s="2">
        <v>3762111</v>
      </c>
    </row>
    <row r="34" spans="3:8" ht="15.75" customHeight="1" x14ac:dyDescent="0.15">
      <c r="C34" s="1" t="s">
        <v>15</v>
      </c>
      <c r="D34" s="2">
        <f t="shared" ref="D34:H34" si="1">AVERAGE(D4:D33)</f>
        <v>19766952.233333334</v>
      </c>
      <c r="E34" s="2">
        <f t="shared" si="1"/>
        <v>9822715.0333333332</v>
      </c>
      <c r="F34" s="2">
        <f t="shared" si="1"/>
        <v>4606467.666666667</v>
      </c>
      <c r="G34" s="2">
        <f t="shared" si="1"/>
        <v>3852420.8333333335</v>
      </c>
      <c r="H34" s="2">
        <f t="shared" si="1"/>
        <v>3711799.9</v>
      </c>
    </row>
    <row r="35" spans="3:8" ht="15.75" customHeight="1" x14ac:dyDescent="0.15">
      <c r="C35" s="1" t="s">
        <v>16</v>
      </c>
      <c r="D35" s="2">
        <f t="shared" ref="D35:H35" si="2">STDEV(D4:D33)</f>
        <v>803527.40135680477</v>
      </c>
      <c r="E35" s="2">
        <f t="shared" si="2"/>
        <v>384399.28213256761</v>
      </c>
      <c r="F35" s="2">
        <f t="shared" si="2"/>
        <v>301564.95010520372</v>
      </c>
      <c r="G35" s="2">
        <f t="shared" si="2"/>
        <v>90688.721525158879</v>
      </c>
      <c r="H35" s="2">
        <f t="shared" si="2"/>
        <v>83641.416837036537</v>
      </c>
    </row>
    <row r="36" spans="3:8" ht="15.75" customHeight="1" x14ac:dyDescent="0.15">
      <c r="C36" s="3"/>
      <c r="D36" s="3"/>
      <c r="E36" s="3"/>
      <c r="F36" s="3"/>
      <c r="G36" s="3"/>
      <c r="H36" s="3"/>
    </row>
    <row r="41" spans="3:8" ht="15.75" customHeight="1" x14ac:dyDescent="0.15">
      <c r="D41" s="1" t="s">
        <v>7</v>
      </c>
      <c r="E41" s="1" t="s">
        <v>8</v>
      </c>
      <c r="F41" s="1" t="s">
        <v>47</v>
      </c>
    </row>
    <row r="42" spans="3:8" ht="15.75" customHeight="1" x14ac:dyDescent="0.15">
      <c r="D42" s="2">
        <f>STDEV(D4:D33)</f>
        <v>803527.40135680477</v>
      </c>
      <c r="E42" s="2">
        <f>AVERAGE(D4:D33)</f>
        <v>19766952.233333334</v>
      </c>
      <c r="F42" s="2">
        <v>1</v>
      </c>
    </row>
    <row r="43" spans="3:8" ht="15.75" customHeight="1" x14ac:dyDescent="0.15">
      <c r="D43" s="2">
        <f>STDEV(E4:E33)</f>
        <v>384399.28213256761</v>
      </c>
      <c r="E43" s="2">
        <f>AVERAGE(E4:E33)</f>
        <v>9822715.0333333332</v>
      </c>
      <c r="F43" s="2">
        <v>2</v>
      </c>
    </row>
    <row r="44" spans="3:8" ht="15.75" customHeight="1" x14ac:dyDescent="0.15">
      <c r="D44" s="2">
        <f>STDEV(F4:F33)</f>
        <v>301564.95010520372</v>
      </c>
      <c r="E44" s="2">
        <f>AVERAGE(F4:F33)</f>
        <v>4606467.666666667</v>
      </c>
      <c r="F44" s="2">
        <v>4</v>
      </c>
    </row>
    <row r="45" spans="3:8" ht="15.75" customHeight="1" x14ac:dyDescent="0.15">
      <c r="D45" s="2">
        <f>STDEV(G4:G33)</f>
        <v>90688.721525158879</v>
      </c>
      <c r="E45" s="2">
        <f>AVERAGE(G4:G33)</f>
        <v>3852420.8333333335</v>
      </c>
      <c r="F45" s="2">
        <v>8</v>
      </c>
    </row>
    <row r="46" spans="3:8" ht="15.75" customHeight="1" x14ac:dyDescent="0.15">
      <c r="D46" s="2">
        <f>STDEV(H4:H33)</f>
        <v>83641.416837036537</v>
      </c>
      <c r="E46" s="2">
        <f>AVERAGE(H4:H33)</f>
        <v>3711799.9</v>
      </c>
      <c r="F46" s="2">
        <v>12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C2:H41"/>
  <sheetViews>
    <sheetView workbookViewId="0"/>
  </sheetViews>
  <sheetFormatPr baseColWidth="10" defaultColWidth="12.6640625" defaultRowHeight="15.75" customHeight="1" x14ac:dyDescent="0.15"/>
  <cols>
    <col min="4" max="4" width="31.1640625" customWidth="1"/>
    <col min="5" max="5" width="33.1640625" customWidth="1"/>
    <col min="6" max="6" width="28.1640625" customWidth="1"/>
    <col min="7" max="7" width="26.6640625" customWidth="1"/>
    <col min="8" max="8" width="24.83203125" customWidth="1"/>
  </cols>
  <sheetData>
    <row r="2" spans="3:8" ht="15.75" customHeight="1" x14ac:dyDescent="0.15">
      <c r="C2" s="1"/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</row>
    <row r="3" spans="3:8" ht="15.75" customHeight="1" x14ac:dyDescent="0.15">
      <c r="C3" s="2">
        <v>1</v>
      </c>
      <c r="D3" s="2">
        <v>29535793</v>
      </c>
      <c r="E3" s="2">
        <v>14256692</v>
      </c>
      <c r="F3" s="2">
        <v>7117104</v>
      </c>
      <c r="G3" s="2">
        <v>5838230</v>
      </c>
      <c r="H3" s="2">
        <v>5773562</v>
      </c>
    </row>
    <row r="4" spans="3:8" ht="15.75" customHeight="1" x14ac:dyDescent="0.15">
      <c r="C4" s="2">
        <f t="shared" ref="C4:C32" si="0">C3+1</f>
        <v>2</v>
      </c>
      <c r="D4" s="2">
        <v>28814806</v>
      </c>
      <c r="E4" s="2">
        <v>15167679</v>
      </c>
      <c r="F4" s="2">
        <v>8192949</v>
      </c>
      <c r="G4" s="2">
        <v>6016204</v>
      </c>
      <c r="H4" s="2">
        <v>5659964</v>
      </c>
    </row>
    <row r="5" spans="3:8" ht="15.75" customHeight="1" x14ac:dyDescent="0.15">
      <c r="C5" s="2">
        <f t="shared" si="0"/>
        <v>3</v>
      </c>
      <c r="D5" s="2">
        <v>30608525</v>
      </c>
      <c r="E5" s="2">
        <v>15266984</v>
      </c>
      <c r="F5" s="2">
        <v>7406455</v>
      </c>
      <c r="G5" s="2">
        <v>6018106</v>
      </c>
      <c r="H5" s="2">
        <v>5516575</v>
      </c>
    </row>
    <row r="6" spans="3:8" ht="15.75" customHeight="1" x14ac:dyDescent="0.15">
      <c r="C6" s="2">
        <f t="shared" si="0"/>
        <v>4</v>
      </c>
      <c r="D6" s="2">
        <v>31570871</v>
      </c>
      <c r="E6" s="2">
        <v>14647402</v>
      </c>
      <c r="F6" s="2">
        <v>6685720</v>
      </c>
      <c r="G6" s="2">
        <v>5954894</v>
      </c>
      <c r="H6" s="2">
        <v>5584850</v>
      </c>
    </row>
    <row r="7" spans="3:8" ht="15.75" customHeight="1" x14ac:dyDescent="0.15">
      <c r="C7" s="2">
        <f t="shared" si="0"/>
        <v>5</v>
      </c>
      <c r="D7" s="2">
        <v>30168388</v>
      </c>
      <c r="E7" s="2">
        <v>15254142</v>
      </c>
      <c r="F7" s="2">
        <v>6403941</v>
      </c>
      <c r="G7" s="2">
        <v>5911722</v>
      </c>
      <c r="H7" s="2">
        <v>5755137</v>
      </c>
    </row>
    <row r="8" spans="3:8" ht="15.75" customHeight="1" x14ac:dyDescent="0.15">
      <c r="C8" s="2">
        <f t="shared" si="0"/>
        <v>6</v>
      </c>
      <c r="D8" s="2">
        <v>31070628</v>
      </c>
      <c r="E8" s="2">
        <v>14843161</v>
      </c>
      <c r="F8" s="2">
        <v>6561456</v>
      </c>
      <c r="G8" s="2">
        <v>5812249</v>
      </c>
      <c r="H8" s="2">
        <v>5693567</v>
      </c>
    </row>
    <row r="9" spans="3:8" ht="15.75" customHeight="1" x14ac:dyDescent="0.15">
      <c r="C9" s="2">
        <f t="shared" si="0"/>
        <v>7</v>
      </c>
      <c r="D9" s="2">
        <v>29516329</v>
      </c>
      <c r="E9" s="2">
        <v>15147166</v>
      </c>
      <c r="F9" s="2">
        <v>6523401</v>
      </c>
      <c r="G9" s="2">
        <v>5920026</v>
      </c>
      <c r="H9" s="2">
        <v>5560187</v>
      </c>
    </row>
    <row r="10" spans="3:8" ht="15.75" customHeight="1" x14ac:dyDescent="0.15">
      <c r="C10" s="2">
        <f t="shared" si="0"/>
        <v>8</v>
      </c>
      <c r="D10" s="2">
        <v>30188088</v>
      </c>
      <c r="E10" s="2">
        <v>14942198</v>
      </c>
      <c r="F10" s="2">
        <v>7091603</v>
      </c>
      <c r="G10" s="2">
        <v>5920535</v>
      </c>
      <c r="H10" s="2">
        <v>5554817</v>
      </c>
    </row>
    <row r="11" spans="3:8" ht="15.75" customHeight="1" x14ac:dyDescent="0.15">
      <c r="C11" s="2">
        <f t="shared" si="0"/>
        <v>9</v>
      </c>
      <c r="D11" s="2">
        <v>31981177</v>
      </c>
      <c r="E11" s="2">
        <v>15075757</v>
      </c>
      <c r="F11" s="2">
        <v>7354907</v>
      </c>
      <c r="G11" s="2">
        <v>5945486</v>
      </c>
      <c r="H11" s="2">
        <v>5735983</v>
      </c>
    </row>
    <row r="12" spans="3:8" ht="15.75" customHeight="1" x14ac:dyDescent="0.15">
      <c r="C12" s="2">
        <f t="shared" si="0"/>
        <v>10</v>
      </c>
      <c r="D12" s="2">
        <v>29761011</v>
      </c>
      <c r="E12" s="2">
        <v>15215356</v>
      </c>
      <c r="F12" s="2">
        <v>6941087</v>
      </c>
      <c r="G12" s="2">
        <v>5777446</v>
      </c>
      <c r="H12" s="2">
        <v>5661089</v>
      </c>
    </row>
    <row r="13" spans="3:8" ht="15.75" customHeight="1" x14ac:dyDescent="0.15">
      <c r="C13" s="2">
        <f t="shared" si="0"/>
        <v>11</v>
      </c>
      <c r="D13" s="2">
        <v>28712673</v>
      </c>
      <c r="E13" s="2">
        <v>15398053</v>
      </c>
      <c r="F13" s="2">
        <v>6852198</v>
      </c>
      <c r="G13" s="2">
        <v>5944210</v>
      </c>
      <c r="H13" s="2">
        <v>5783224</v>
      </c>
    </row>
    <row r="14" spans="3:8" ht="15.75" customHeight="1" x14ac:dyDescent="0.15">
      <c r="C14" s="2">
        <f t="shared" si="0"/>
        <v>12</v>
      </c>
      <c r="D14" s="2">
        <v>30043152</v>
      </c>
      <c r="E14" s="2">
        <v>14797479</v>
      </c>
      <c r="F14" s="2">
        <v>6935461</v>
      </c>
      <c r="G14" s="2">
        <v>5674139</v>
      </c>
      <c r="H14" s="2">
        <v>5817312</v>
      </c>
    </row>
    <row r="15" spans="3:8" ht="15.75" customHeight="1" x14ac:dyDescent="0.15">
      <c r="C15" s="2">
        <f t="shared" si="0"/>
        <v>13</v>
      </c>
      <c r="D15" s="2">
        <v>28353190</v>
      </c>
      <c r="E15" s="2">
        <v>15325333</v>
      </c>
      <c r="F15" s="2">
        <v>6760133</v>
      </c>
      <c r="G15" s="2">
        <v>5976565</v>
      </c>
      <c r="H15" s="2">
        <v>5819862</v>
      </c>
    </row>
    <row r="16" spans="3:8" ht="15.75" customHeight="1" x14ac:dyDescent="0.15">
      <c r="C16" s="2">
        <f t="shared" si="0"/>
        <v>14</v>
      </c>
      <c r="D16" s="2">
        <v>29656213</v>
      </c>
      <c r="E16" s="2">
        <v>14421824</v>
      </c>
      <c r="F16" s="2">
        <v>7365096</v>
      </c>
      <c r="G16" s="2">
        <v>5978296</v>
      </c>
      <c r="H16" s="2">
        <v>5693709</v>
      </c>
    </row>
    <row r="17" spans="3:8" ht="15.75" customHeight="1" x14ac:dyDescent="0.15">
      <c r="C17" s="2">
        <f t="shared" si="0"/>
        <v>15</v>
      </c>
      <c r="D17" s="2">
        <v>30529099</v>
      </c>
      <c r="E17" s="2">
        <v>14211328</v>
      </c>
      <c r="F17" s="2">
        <v>7452274</v>
      </c>
      <c r="G17" s="2">
        <v>5788873</v>
      </c>
      <c r="H17" s="2">
        <v>5870178</v>
      </c>
    </row>
    <row r="18" spans="3:8" ht="15.75" customHeight="1" x14ac:dyDescent="0.15">
      <c r="C18" s="2">
        <f t="shared" si="0"/>
        <v>16</v>
      </c>
      <c r="D18" s="2">
        <v>29128202</v>
      </c>
      <c r="E18" s="2">
        <v>15205646</v>
      </c>
      <c r="F18" s="2">
        <v>7174629</v>
      </c>
      <c r="G18" s="2">
        <v>5675799</v>
      </c>
      <c r="H18" s="2">
        <v>5761491</v>
      </c>
    </row>
    <row r="19" spans="3:8" ht="15.75" customHeight="1" x14ac:dyDescent="0.15">
      <c r="C19" s="2">
        <f t="shared" si="0"/>
        <v>17</v>
      </c>
      <c r="D19" s="2">
        <v>28587933</v>
      </c>
      <c r="E19" s="2">
        <v>13756229</v>
      </c>
      <c r="F19" s="2">
        <v>7373108</v>
      </c>
      <c r="G19" s="2">
        <v>5692584</v>
      </c>
      <c r="H19" s="2">
        <v>6616077</v>
      </c>
    </row>
    <row r="20" spans="3:8" ht="15.75" customHeight="1" x14ac:dyDescent="0.15">
      <c r="C20" s="2">
        <f t="shared" si="0"/>
        <v>18</v>
      </c>
      <c r="D20" s="2">
        <v>30046240</v>
      </c>
      <c r="E20" s="2">
        <v>14216129</v>
      </c>
      <c r="F20" s="2">
        <v>6653144</v>
      </c>
      <c r="G20" s="2">
        <v>6002686</v>
      </c>
      <c r="H20" s="2">
        <v>5638138</v>
      </c>
    </row>
    <row r="21" spans="3:8" ht="15.75" customHeight="1" x14ac:dyDescent="0.15">
      <c r="C21" s="2">
        <f t="shared" si="0"/>
        <v>19</v>
      </c>
      <c r="D21" s="2">
        <v>30342594</v>
      </c>
      <c r="E21" s="2">
        <v>14177744</v>
      </c>
      <c r="F21" s="2">
        <v>7398456</v>
      </c>
      <c r="G21" s="2">
        <v>5840992</v>
      </c>
      <c r="H21" s="2">
        <v>5864126</v>
      </c>
    </row>
    <row r="22" spans="3:8" ht="15.75" customHeight="1" x14ac:dyDescent="0.15">
      <c r="C22" s="2">
        <f t="shared" si="0"/>
        <v>20</v>
      </c>
      <c r="D22" s="2">
        <v>31498068</v>
      </c>
      <c r="E22" s="2">
        <v>14175024</v>
      </c>
      <c r="F22" s="2">
        <v>6904433</v>
      </c>
      <c r="G22" s="2">
        <v>5998542</v>
      </c>
      <c r="H22" s="2">
        <v>5766620</v>
      </c>
    </row>
    <row r="23" spans="3:8" ht="15.75" customHeight="1" x14ac:dyDescent="0.15">
      <c r="C23" s="2">
        <f t="shared" si="0"/>
        <v>21</v>
      </c>
      <c r="D23" s="2">
        <v>29360477</v>
      </c>
      <c r="E23" s="2">
        <v>15257155</v>
      </c>
      <c r="F23" s="2">
        <v>6948148</v>
      </c>
      <c r="G23" s="2">
        <v>5615862</v>
      </c>
      <c r="H23" s="2">
        <v>5726358</v>
      </c>
    </row>
    <row r="24" spans="3:8" ht="15.75" customHeight="1" x14ac:dyDescent="0.15">
      <c r="C24" s="2">
        <f t="shared" si="0"/>
        <v>22</v>
      </c>
      <c r="D24" s="2">
        <v>30496207</v>
      </c>
      <c r="E24" s="2">
        <v>14515661</v>
      </c>
      <c r="F24" s="2">
        <v>7393809</v>
      </c>
      <c r="G24" s="2">
        <v>5733386</v>
      </c>
      <c r="H24" s="2">
        <v>5675954</v>
      </c>
    </row>
    <row r="25" spans="3:8" ht="15.75" customHeight="1" x14ac:dyDescent="0.15">
      <c r="C25" s="2">
        <f t="shared" si="0"/>
        <v>23</v>
      </c>
      <c r="D25" s="2">
        <v>29572874</v>
      </c>
      <c r="E25" s="2">
        <v>14992378</v>
      </c>
      <c r="F25" s="2">
        <v>7089374</v>
      </c>
      <c r="G25" s="2">
        <v>5650085</v>
      </c>
      <c r="H25" s="2">
        <v>5765457</v>
      </c>
    </row>
    <row r="26" spans="3:8" ht="15.75" customHeight="1" x14ac:dyDescent="0.15">
      <c r="C26" s="2">
        <f t="shared" si="0"/>
        <v>24</v>
      </c>
      <c r="D26" s="2">
        <v>31244787</v>
      </c>
      <c r="E26" s="2">
        <v>15452742</v>
      </c>
      <c r="F26" s="2">
        <v>7456055</v>
      </c>
      <c r="G26" s="2">
        <v>5886423</v>
      </c>
      <c r="H26" s="2">
        <v>5674274</v>
      </c>
    </row>
    <row r="27" spans="3:8" ht="15.75" customHeight="1" x14ac:dyDescent="0.15">
      <c r="C27" s="2">
        <f t="shared" si="0"/>
        <v>25</v>
      </c>
      <c r="D27" s="2">
        <v>30446993</v>
      </c>
      <c r="E27" s="2">
        <v>14878960</v>
      </c>
      <c r="F27" s="2">
        <v>6990334</v>
      </c>
      <c r="G27" s="2">
        <v>5930656</v>
      </c>
      <c r="H27" s="2">
        <v>5596177</v>
      </c>
    </row>
    <row r="28" spans="3:8" ht="15.75" customHeight="1" x14ac:dyDescent="0.15">
      <c r="C28" s="2">
        <f t="shared" si="0"/>
        <v>26</v>
      </c>
      <c r="D28" s="2">
        <v>30896266</v>
      </c>
      <c r="E28" s="2">
        <v>14664061</v>
      </c>
      <c r="F28" s="2">
        <v>6714692</v>
      </c>
      <c r="G28" s="2">
        <v>6021000</v>
      </c>
      <c r="H28" s="2">
        <v>5558282</v>
      </c>
    </row>
    <row r="29" spans="3:8" ht="15.75" customHeight="1" x14ac:dyDescent="0.15">
      <c r="C29" s="2">
        <f t="shared" si="0"/>
        <v>27</v>
      </c>
      <c r="D29" s="2">
        <v>29868904</v>
      </c>
      <c r="E29" s="2">
        <v>15210330</v>
      </c>
      <c r="F29" s="2">
        <v>6622486</v>
      </c>
      <c r="G29" s="2">
        <v>5861265</v>
      </c>
      <c r="H29" s="2">
        <v>5748990</v>
      </c>
    </row>
    <row r="30" spans="3:8" ht="15.75" customHeight="1" x14ac:dyDescent="0.15">
      <c r="C30" s="2">
        <f t="shared" si="0"/>
        <v>28</v>
      </c>
      <c r="D30" s="2">
        <v>30243064</v>
      </c>
      <c r="E30" s="2">
        <v>14784999</v>
      </c>
      <c r="F30" s="2">
        <v>6834252</v>
      </c>
      <c r="G30" s="2">
        <v>5861654</v>
      </c>
      <c r="H30" s="2">
        <v>5652977</v>
      </c>
    </row>
    <row r="31" spans="3:8" ht="15.75" customHeight="1" x14ac:dyDescent="0.15">
      <c r="C31" s="2">
        <f t="shared" si="0"/>
        <v>29</v>
      </c>
      <c r="D31" s="2">
        <v>29439613</v>
      </c>
      <c r="E31" s="2">
        <v>14799415</v>
      </c>
      <c r="F31" s="2">
        <v>7372381</v>
      </c>
      <c r="G31" s="2">
        <v>5818311</v>
      </c>
      <c r="H31" s="2">
        <v>5766627</v>
      </c>
    </row>
    <row r="32" spans="3:8" ht="15.75" customHeight="1" x14ac:dyDescent="0.15">
      <c r="C32" s="2">
        <f t="shared" si="0"/>
        <v>30</v>
      </c>
      <c r="D32" s="2">
        <v>28490471</v>
      </c>
      <c r="E32" s="2">
        <v>15557232</v>
      </c>
      <c r="F32" s="2">
        <v>6611868</v>
      </c>
      <c r="G32" s="2">
        <v>5947255</v>
      </c>
      <c r="H32" s="2">
        <v>5946830</v>
      </c>
    </row>
    <row r="33" spans="3:8" ht="15.75" customHeight="1" x14ac:dyDescent="0.15">
      <c r="C33" s="1" t="s">
        <v>15</v>
      </c>
      <c r="D33" s="2">
        <f t="shared" ref="D33:H33" si="1">AVERAGE(D3:D32)</f>
        <v>30005754.533333335</v>
      </c>
      <c r="E33" s="2">
        <f t="shared" si="1"/>
        <v>14853808.633333333</v>
      </c>
      <c r="F33" s="2">
        <f t="shared" si="1"/>
        <v>7039365.1333333338</v>
      </c>
      <c r="G33" s="2">
        <f t="shared" si="1"/>
        <v>5867116.0333333332</v>
      </c>
      <c r="H33" s="2">
        <f t="shared" si="1"/>
        <v>5741279.7999999998</v>
      </c>
    </row>
    <row r="34" spans="3:8" ht="15.75" customHeight="1" x14ac:dyDescent="0.15">
      <c r="C34" s="1" t="s">
        <v>16</v>
      </c>
      <c r="D34" s="2">
        <f t="shared" ref="D34:H34" si="2">STDEV(D3:D32)</f>
        <v>943750.73076022801</v>
      </c>
      <c r="E34" s="2">
        <f t="shared" si="2"/>
        <v>462296.60752829589</v>
      </c>
      <c r="F34" s="2">
        <f t="shared" si="2"/>
        <v>387776.94363265729</v>
      </c>
      <c r="G34" s="2">
        <f t="shared" si="2"/>
        <v>120418.43925460955</v>
      </c>
      <c r="H34" s="2">
        <f t="shared" si="2"/>
        <v>194635.6445298364</v>
      </c>
    </row>
    <row r="36" spans="3:8" ht="15.75" customHeight="1" x14ac:dyDescent="0.15">
      <c r="D36" s="1" t="s">
        <v>7</v>
      </c>
      <c r="E36" s="1" t="s">
        <v>8</v>
      </c>
      <c r="F36" s="1" t="s">
        <v>47</v>
      </c>
    </row>
    <row r="37" spans="3:8" ht="15.75" customHeight="1" x14ac:dyDescent="0.15">
      <c r="D37" s="2">
        <f>STDEV(D3:D32)</f>
        <v>943750.73076022801</v>
      </c>
      <c r="E37" s="2">
        <f>AVERAGE(D3:D32)</f>
        <v>30005754.533333335</v>
      </c>
      <c r="F37" s="2">
        <v>1</v>
      </c>
    </row>
    <row r="38" spans="3:8" ht="15.75" customHeight="1" x14ac:dyDescent="0.15">
      <c r="D38" s="2">
        <f>STDEV(E3:E32)</f>
        <v>462296.60752829589</v>
      </c>
      <c r="E38" s="2">
        <f>AVERAGE(E3:E32)</f>
        <v>14853808.633333333</v>
      </c>
      <c r="F38" s="2">
        <v>2</v>
      </c>
    </row>
    <row r="39" spans="3:8" ht="15.75" customHeight="1" x14ac:dyDescent="0.15">
      <c r="D39" s="2">
        <f>STDEV(F3:F32)</f>
        <v>387776.94363265729</v>
      </c>
      <c r="E39" s="2">
        <f>AVERAGE(F3:F32)</f>
        <v>7039365.1333333338</v>
      </c>
      <c r="F39" s="2">
        <v>4</v>
      </c>
    </row>
    <row r="40" spans="3:8" ht="15.75" customHeight="1" x14ac:dyDescent="0.15">
      <c r="D40" s="2">
        <f>STDEV(G3:G32)</f>
        <v>120418.43925460955</v>
      </c>
      <c r="E40" s="2">
        <f>AVERAGE(G3:G32)</f>
        <v>5867116.0333333332</v>
      </c>
      <c r="F40" s="2">
        <v>8</v>
      </c>
    </row>
    <row r="41" spans="3:8" ht="15.75" customHeight="1" x14ac:dyDescent="0.15">
      <c r="D41" s="2">
        <f>STDEV(H3:H32)</f>
        <v>194635.6445298364</v>
      </c>
      <c r="E41" s="2">
        <f>AVERAGE(H3:H32)</f>
        <v>5741279.7999999998</v>
      </c>
      <c r="F41" s="2">
        <v>12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C3:H43"/>
  <sheetViews>
    <sheetView topLeftCell="D1" workbookViewId="0"/>
  </sheetViews>
  <sheetFormatPr baseColWidth="10" defaultColWidth="12.6640625" defaultRowHeight="15.75" customHeight="1" x14ac:dyDescent="0.15"/>
  <cols>
    <col min="4" max="4" width="28.6640625" customWidth="1"/>
    <col min="5" max="5" width="29.33203125" customWidth="1"/>
    <col min="6" max="7" width="27.1640625" customWidth="1"/>
    <col min="8" max="8" width="24.6640625" customWidth="1"/>
  </cols>
  <sheetData>
    <row r="3" spans="3:8" ht="15.75" customHeight="1" x14ac:dyDescent="0.15">
      <c r="C3" s="1"/>
      <c r="D3" s="1" t="s">
        <v>73</v>
      </c>
      <c r="E3" s="1" t="s">
        <v>74</v>
      </c>
      <c r="F3" s="1" t="s">
        <v>75</v>
      </c>
      <c r="G3" s="1" t="s">
        <v>76</v>
      </c>
      <c r="H3" s="1" t="s">
        <v>77</v>
      </c>
    </row>
    <row r="4" spans="3:8" ht="15.75" customHeight="1" x14ac:dyDescent="0.15">
      <c r="C4" s="2">
        <v>1</v>
      </c>
      <c r="D4" s="2">
        <v>82439676</v>
      </c>
      <c r="E4" s="2">
        <v>43168328</v>
      </c>
      <c r="F4" s="2">
        <v>20212424</v>
      </c>
      <c r="G4" s="2">
        <v>20033068</v>
      </c>
      <c r="H4" s="2">
        <v>21249668</v>
      </c>
    </row>
    <row r="5" spans="3:8" ht="15.75" customHeight="1" x14ac:dyDescent="0.15">
      <c r="C5" s="2">
        <f t="shared" ref="C5:C33" si="0">C4+1</f>
        <v>2</v>
      </c>
      <c r="D5" s="2">
        <v>80246148</v>
      </c>
      <c r="E5" s="2">
        <v>42493249</v>
      </c>
      <c r="F5" s="2">
        <v>20660774</v>
      </c>
      <c r="G5" s="2">
        <v>20950834</v>
      </c>
      <c r="H5" s="2">
        <v>20634241</v>
      </c>
    </row>
    <row r="6" spans="3:8" ht="15.75" customHeight="1" x14ac:dyDescent="0.15">
      <c r="C6" s="2">
        <f t="shared" si="0"/>
        <v>3</v>
      </c>
      <c r="D6" s="2">
        <v>81760735</v>
      </c>
      <c r="E6" s="2">
        <v>41637595</v>
      </c>
      <c r="F6" s="2">
        <v>21085702</v>
      </c>
      <c r="G6" s="2">
        <v>20090140</v>
      </c>
      <c r="H6" s="2">
        <v>20821585</v>
      </c>
    </row>
    <row r="7" spans="3:8" ht="15.75" customHeight="1" x14ac:dyDescent="0.15">
      <c r="C7" s="2">
        <f t="shared" si="0"/>
        <v>4</v>
      </c>
      <c r="D7" s="2">
        <v>83752374</v>
      </c>
      <c r="E7" s="2">
        <v>41959521</v>
      </c>
      <c r="F7" s="2">
        <v>20668354</v>
      </c>
      <c r="G7" s="2">
        <v>20036848</v>
      </c>
      <c r="H7" s="2">
        <v>20118176</v>
      </c>
    </row>
    <row r="8" spans="3:8" ht="15.75" customHeight="1" x14ac:dyDescent="0.15">
      <c r="C8" s="2">
        <f t="shared" si="0"/>
        <v>5</v>
      </c>
      <c r="D8" s="2">
        <v>82023194</v>
      </c>
      <c r="E8" s="2">
        <v>41033943</v>
      </c>
      <c r="F8" s="2">
        <v>21346321</v>
      </c>
      <c r="G8" s="2">
        <v>19948791</v>
      </c>
      <c r="H8" s="2">
        <v>19650673</v>
      </c>
    </row>
    <row r="9" spans="3:8" ht="15.75" customHeight="1" x14ac:dyDescent="0.15">
      <c r="C9" s="2">
        <f t="shared" si="0"/>
        <v>6</v>
      </c>
      <c r="D9" s="2">
        <v>83529580</v>
      </c>
      <c r="E9" s="2">
        <v>41526063</v>
      </c>
      <c r="F9" s="2">
        <v>21237765</v>
      </c>
      <c r="G9" s="2">
        <v>20635967</v>
      </c>
      <c r="H9" s="2">
        <v>20085741</v>
      </c>
    </row>
    <row r="10" spans="3:8" ht="15.75" customHeight="1" x14ac:dyDescent="0.15">
      <c r="C10" s="2">
        <f t="shared" si="0"/>
        <v>7</v>
      </c>
      <c r="D10" s="2">
        <v>82023194</v>
      </c>
      <c r="E10" s="2">
        <v>41691011</v>
      </c>
      <c r="F10" s="2">
        <v>21107991</v>
      </c>
      <c r="G10" s="2">
        <v>19941432</v>
      </c>
      <c r="H10" s="2">
        <v>19482834</v>
      </c>
    </row>
    <row r="11" spans="3:8" ht="15.75" customHeight="1" x14ac:dyDescent="0.15">
      <c r="C11" s="2">
        <f t="shared" si="0"/>
        <v>8</v>
      </c>
      <c r="D11" s="2">
        <v>82123501</v>
      </c>
      <c r="E11" s="2">
        <v>42166256</v>
      </c>
      <c r="F11" s="2">
        <v>21323123</v>
      </c>
      <c r="G11" s="2">
        <v>19961139</v>
      </c>
      <c r="H11" s="2">
        <v>19612649</v>
      </c>
    </row>
    <row r="12" spans="3:8" ht="15.75" customHeight="1" x14ac:dyDescent="0.15">
      <c r="C12" s="2">
        <f t="shared" si="0"/>
        <v>9</v>
      </c>
      <c r="D12" s="2">
        <v>79073282</v>
      </c>
      <c r="E12" s="2">
        <v>42773431</v>
      </c>
      <c r="F12" s="2">
        <v>20784563</v>
      </c>
      <c r="G12" s="2">
        <v>20395863</v>
      </c>
      <c r="H12" s="2">
        <v>19878411</v>
      </c>
    </row>
    <row r="13" spans="3:8" ht="15.75" customHeight="1" x14ac:dyDescent="0.15">
      <c r="C13" s="2">
        <f t="shared" si="0"/>
        <v>10</v>
      </c>
      <c r="D13" s="2">
        <v>80382913</v>
      </c>
      <c r="E13" s="2">
        <v>42065859</v>
      </c>
      <c r="F13" s="2">
        <v>20986639</v>
      </c>
      <c r="G13" s="2">
        <v>19759281</v>
      </c>
      <c r="H13" s="2">
        <v>19756527</v>
      </c>
    </row>
    <row r="14" spans="3:8" ht="15.75" customHeight="1" x14ac:dyDescent="0.15">
      <c r="C14" s="2">
        <f t="shared" si="0"/>
        <v>11</v>
      </c>
      <c r="D14" s="2">
        <v>79483848</v>
      </c>
      <c r="E14" s="2">
        <v>42848344</v>
      </c>
      <c r="F14" s="2">
        <v>21251897</v>
      </c>
      <c r="G14" s="2">
        <v>20445893</v>
      </c>
      <c r="H14" s="2">
        <v>19836644</v>
      </c>
    </row>
    <row r="15" spans="3:8" ht="15.75" customHeight="1" x14ac:dyDescent="0.15">
      <c r="C15" s="2">
        <f t="shared" si="0"/>
        <v>12</v>
      </c>
      <c r="D15" s="2">
        <v>82364557</v>
      </c>
      <c r="E15" s="2">
        <v>42771199</v>
      </c>
      <c r="F15" s="2">
        <v>21013695</v>
      </c>
      <c r="G15" s="2">
        <v>20578037</v>
      </c>
      <c r="H15" s="2">
        <v>19986277</v>
      </c>
    </row>
    <row r="16" spans="3:8" ht="15.75" customHeight="1" x14ac:dyDescent="0.15">
      <c r="C16" s="2">
        <f t="shared" si="0"/>
        <v>13</v>
      </c>
      <c r="D16" s="2">
        <v>82108307</v>
      </c>
      <c r="E16" s="2">
        <v>42749378</v>
      </c>
      <c r="F16" s="2">
        <v>21225798</v>
      </c>
      <c r="G16" s="2">
        <v>19955620</v>
      </c>
      <c r="H16" s="2">
        <v>19092363</v>
      </c>
    </row>
    <row r="17" spans="3:8" ht="15.75" customHeight="1" x14ac:dyDescent="0.15">
      <c r="C17" s="2">
        <f t="shared" si="0"/>
        <v>14</v>
      </c>
      <c r="D17" s="2">
        <v>85038392</v>
      </c>
      <c r="E17" s="2">
        <v>43190287</v>
      </c>
      <c r="F17" s="2">
        <v>21112583</v>
      </c>
      <c r="G17" s="2">
        <v>20792566</v>
      </c>
      <c r="H17" s="2">
        <v>20178706</v>
      </c>
    </row>
    <row r="18" spans="3:8" ht="15.75" customHeight="1" x14ac:dyDescent="0.15">
      <c r="C18" s="2">
        <f t="shared" si="0"/>
        <v>15</v>
      </c>
      <c r="D18" s="2">
        <v>82404861</v>
      </c>
      <c r="E18" s="2">
        <v>43543939</v>
      </c>
      <c r="F18" s="2">
        <v>21213232</v>
      </c>
      <c r="G18" s="2">
        <v>20093108</v>
      </c>
      <c r="H18" s="2">
        <v>20500126</v>
      </c>
    </row>
    <row r="19" spans="3:8" ht="15.75" customHeight="1" x14ac:dyDescent="0.15">
      <c r="C19" s="2">
        <f t="shared" si="0"/>
        <v>16</v>
      </c>
      <c r="D19" s="2">
        <v>78995501</v>
      </c>
      <c r="E19" s="2">
        <v>43858343</v>
      </c>
      <c r="F19" s="2">
        <v>21732931</v>
      </c>
      <c r="G19" s="2">
        <v>19936192</v>
      </c>
      <c r="H19" s="2">
        <v>20302323</v>
      </c>
    </row>
    <row r="20" spans="3:8" ht="15.75" customHeight="1" x14ac:dyDescent="0.15">
      <c r="C20" s="2">
        <f t="shared" si="0"/>
        <v>17</v>
      </c>
      <c r="D20" s="2">
        <v>80260631</v>
      </c>
      <c r="E20" s="2">
        <v>43650798</v>
      </c>
      <c r="F20" s="2">
        <v>21374648</v>
      </c>
      <c r="G20" s="2">
        <v>20551835</v>
      </c>
      <c r="H20" s="2">
        <v>19478879</v>
      </c>
    </row>
    <row r="21" spans="3:8" ht="15.75" customHeight="1" x14ac:dyDescent="0.15">
      <c r="C21" s="2">
        <f t="shared" si="0"/>
        <v>18</v>
      </c>
      <c r="D21" s="2">
        <v>84983489</v>
      </c>
      <c r="E21" s="2">
        <v>42811661</v>
      </c>
      <c r="F21" s="2">
        <v>21246263</v>
      </c>
      <c r="G21" s="2">
        <v>20157277</v>
      </c>
      <c r="H21" s="2">
        <v>19572032</v>
      </c>
    </row>
    <row r="22" spans="3:8" ht="15.75" customHeight="1" x14ac:dyDescent="0.15">
      <c r="C22" s="2">
        <f t="shared" si="0"/>
        <v>19</v>
      </c>
      <c r="D22" s="2">
        <v>80850695</v>
      </c>
      <c r="E22" s="2">
        <v>43989389</v>
      </c>
      <c r="F22" s="2">
        <v>21894232</v>
      </c>
      <c r="G22" s="2">
        <v>20963062</v>
      </c>
      <c r="H22" s="2">
        <v>19323232</v>
      </c>
    </row>
    <row r="23" spans="3:8" ht="15.75" customHeight="1" x14ac:dyDescent="0.15">
      <c r="C23" s="2">
        <f t="shared" si="0"/>
        <v>20</v>
      </c>
      <c r="D23" s="2">
        <v>89439834</v>
      </c>
      <c r="E23" s="2">
        <v>43049661</v>
      </c>
      <c r="F23" s="2">
        <v>21235327</v>
      </c>
      <c r="G23" s="2">
        <v>21182342</v>
      </c>
      <c r="H23" s="2">
        <v>20285203</v>
      </c>
    </row>
    <row r="24" spans="3:8" ht="15.75" customHeight="1" x14ac:dyDescent="0.15">
      <c r="C24" s="2">
        <f t="shared" si="0"/>
        <v>21</v>
      </c>
      <c r="D24" s="2">
        <v>81682827</v>
      </c>
      <c r="E24" s="2">
        <v>43117458</v>
      </c>
      <c r="F24" s="2">
        <v>22882990</v>
      </c>
      <c r="G24" s="2">
        <v>20877111</v>
      </c>
      <c r="H24" s="2">
        <v>20917240</v>
      </c>
    </row>
    <row r="25" spans="3:8" ht="15.75" customHeight="1" x14ac:dyDescent="0.15">
      <c r="C25" s="2">
        <f t="shared" si="0"/>
        <v>22</v>
      </c>
      <c r="D25" s="2">
        <v>82108763</v>
      </c>
      <c r="E25" s="2">
        <v>43347884</v>
      </c>
      <c r="F25" s="2">
        <v>21983429</v>
      </c>
      <c r="G25" s="2">
        <v>20586596</v>
      </c>
      <c r="H25" s="2">
        <v>20984904</v>
      </c>
    </row>
    <row r="26" spans="3:8" ht="15.75" customHeight="1" x14ac:dyDescent="0.15">
      <c r="C26" s="2">
        <f t="shared" si="0"/>
        <v>23</v>
      </c>
      <c r="D26" s="2">
        <v>82652979</v>
      </c>
      <c r="E26" s="2">
        <v>43595361</v>
      </c>
      <c r="F26" s="2">
        <v>22397127</v>
      </c>
      <c r="G26" s="2">
        <v>20352418</v>
      </c>
      <c r="H26" s="2">
        <v>20873082</v>
      </c>
    </row>
    <row r="27" spans="3:8" ht="15.75" customHeight="1" x14ac:dyDescent="0.15">
      <c r="C27" s="2">
        <f t="shared" si="0"/>
        <v>24</v>
      </c>
      <c r="D27" s="2">
        <v>82486029</v>
      </c>
      <c r="E27" s="2">
        <v>43387956</v>
      </c>
      <c r="F27" s="2">
        <v>21316125</v>
      </c>
      <c r="G27" s="2">
        <v>20282023</v>
      </c>
      <c r="H27" s="2">
        <v>20855983</v>
      </c>
    </row>
    <row r="28" spans="3:8" ht="15.75" customHeight="1" x14ac:dyDescent="0.15">
      <c r="C28" s="2">
        <f t="shared" si="0"/>
        <v>25</v>
      </c>
      <c r="D28" s="2">
        <v>82883942</v>
      </c>
      <c r="E28" s="2">
        <v>43332345</v>
      </c>
      <c r="F28" s="2">
        <v>21697981</v>
      </c>
      <c r="G28" s="2">
        <v>20632571</v>
      </c>
      <c r="H28" s="2">
        <v>20480646</v>
      </c>
    </row>
    <row r="29" spans="3:8" ht="15.75" customHeight="1" x14ac:dyDescent="0.15">
      <c r="C29" s="2">
        <f t="shared" si="0"/>
        <v>26</v>
      </c>
      <c r="D29" s="2">
        <v>87654321</v>
      </c>
      <c r="E29" s="2">
        <v>45949049</v>
      </c>
      <c r="F29" s="2">
        <v>21789327</v>
      </c>
      <c r="G29" s="2">
        <v>20561607</v>
      </c>
      <c r="H29" s="2">
        <v>20341564</v>
      </c>
    </row>
    <row r="30" spans="3:8" ht="15.75" customHeight="1" x14ac:dyDescent="0.15">
      <c r="C30" s="2">
        <f t="shared" si="0"/>
        <v>27</v>
      </c>
      <c r="D30" s="2">
        <v>87301111</v>
      </c>
      <c r="E30" s="2">
        <v>43938281</v>
      </c>
      <c r="F30" s="2">
        <v>21092380</v>
      </c>
      <c r="G30" s="2">
        <v>19605816</v>
      </c>
      <c r="H30" s="2">
        <v>20268754</v>
      </c>
    </row>
    <row r="31" spans="3:8" ht="15.75" customHeight="1" x14ac:dyDescent="0.15">
      <c r="C31" s="2">
        <f t="shared" si="0"/>
        <v>28</v>
      </c>
      <c r="D31" s="2">
        <v>83462123</v>
      </c>
      <c r="E31" s="2">
        <v>43593510</v>
      </c>
      <c r="F31" s="2">
        <v>20690048</v>
      </c>
      <c r="G31" s="2">
        <v>20438517</v>
      </c>
      <c r="H31" s="2">
        <v>20368979</v>
      </c>
    </row>
    <row r="32" spans="3:8" ht="15.75" customHeight="1" x14ac:dyDescent="0.15">
      <c r="C32" s="2">
        <f t="shared" si="0"/>
        <v>29</v>
      </c>
      <c r="D32" s="2">
        <v>83431696</v>
      </c>
      <c r="E32" s="2">
        <v>43844041</v>
      </c>
      <c r="F32" s="2">
        <v>20574574</v>
      </c>
      <c r="G32" s="2">
        <v>20254359</v>
      </c>
      <c r="H32" s="2">
        <v>20002323</v>
      </c>
    </row>
    <row r="33" spans="3:8" ht="15.75" customHeight="1" x14ac:dyDescent="0.15">
      <c r="C33" s="2">
        <f t="shared" si="0"/>
        <v>30</v>
      </c>
      <c r="D33" s="2">
        <v>82755517</v>
      </c>
      <c r="E33" s="2">
        <v>46084903</v>
      </c>
      <c r="F33" s="2">
        <v>21253200</v>
      </c>
      <c r="G33" s="2">
        <v>20508487</v>
      </c>
      <c r="H33" s="2">
        <v>20473442</v>
      </c>
    </row>
    <row r="34" spans="3:8" ht="15.75" customHeight="1" x14ac:dyDescent="0.15">
      <c r="C34" s="1" t="s">
        <v>15</v>
      </c>
      <c r="D34" s="2">
        <f t="shared" ref="D34:H34" si="1">AVERAGE(D4:D33)</f>
        <v>82656800.666666672</v>
      </c>
      <c r="E34" s="2">
        <f t="shared" si="1"/>
        <v>43105634.766666666</v>
      </c>
      <c r="F34" s="2">
        <f t="shared" si="1"/>
        <v>21279714.766666666</v>
      </c>
      <c r="G34" s="2">
        <f t="shared" si="1"/>
        <v>20350293.333333332</v>
      </c>
      <c r="H34" s="2">
        <f t="shared" si="1"/>
        <v>20180440.233333334</v>
      </c>
    </row>
    <row r="35" spans="3:8" ht="15.75" customHeight="1" x14ac:dyDescent="0.15">
      <c r="C35" s="1" t="s">
        <v>16</v>
      </c>
      <c r="D35" s="2">
        <f t="shared" ref="D35:H35" si="2">STDEV(D4:D33)</f>
        <v>2398830.7186765741</v>
      </c>
      <c r="E35" s="2">
        <f t="shared" si="2"/>
        <v>1111315.8021833049</v>
      </c>
      <c r="F35" s="2">
        <f t="shared" si="2"/>
        <v>545678.84741912794</v>
      </c>
      <c r="G35" s="2">
        <f t="shared" si="2"/>
        <v>389265.6490923189</v>
      </c>
      <c r="H35" s="2">
        <f t="shared" si="2"/>
        <v>544624.5384706083</v>
      </c>
    </row>
    <row r="38" spans="3:8" ht="15.75" customHeight="1" x14ac:dyDescent="0.15">
      <c r="D38" s="1" t="s">
        <v>7</v>
      </c>
      <c r="E38" s="1" t="s">
        <v>8</v>
      </c>
      <c r="F38" s="1" t="s">
        <v>47</v>
      </c>
    </row>
    <row r="39" spans="3:8" ht="15.75" customHeight="1" x14ac:dyDescent="0.15">
      <c r="D39" s="2">
        <f>STDEV(D4:D33)</f>
        <v>2398830.7186765741</v>
      </c>
      <c r="E39" s="2">
        <f>AVERAGE(D4:D33)</f>
        <v>82656800.666666672</v>
      </c>
      <c r="F39" s="2">
        <v>1</v>
      </c>
    </row>
    <row r="40" spans="3:8" ht="15.75" customHeight="1" x14ac:dyDescent="0.15">
      <c r="D40" s="2">
        <f>STDEV(E4:E33)</f>
        <v>1111315.8021833049</v>
      </c>
      <c r="E40" s="2">
        <f>AVERAGE(E4:E33)</f>
        <v>43105634.766666666</v>
      </c>
      <c r="F40" s="2">
        <v>2</v>
      </c>
    </row>
    <row r="41" spans="3:8" ht="15.75" customHeight="1" x14ac:dyDescent="0.15">
      <c r="D41" s="2">
        <f>STDEV(F4:F33)</f>
        <v>545678.84741912794</v>
      </c>
      <c r="E41" s="2">
        <f>AVERAGE(F4:F33)</f>
        <v>21279714.766666666</v>
      </c>
      <c r="F41" s="2">
        <v>4</v>
      </c>
    </row>
    <row r="42" spans="3:8" ht="15.75" customHeight="1" x14ac:dyDescent="0.15">
      <c r="D42" s="2">
        <f>STDEV(G4:G33)</f>
        <v>389265.6490923189</v>
      </c>
      <c r="E42" s="2">
        <f>AVERAGE(G4:G33)</f>
        <v>20350293.333333332</v>
      </c>
      <c r="F42" s="2">
        <v>8</v>
      </c>
    </row>
    <row r="43" spans="3:8" ht="15.75" customHeight="1" x14ac:dyDescent="0.15">
      <c r="D43" s="2">
        <f>STDEV(H4:H33)</f>
        <v>544624.5384706083</v>
      </c>
      <c r="E43" s="2">
        <f>AVERAGE(H4:H33)</f>
        <v>20180440.233333334</v>
      </c>
      <c r="F43" s="2">
        <v>12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2:I41"/>
  <sheetViews>
    <sheetView workbookViewId="0"/>
  </sheetViews>
  <sheetFormatPr baseColWidth="10" defaultColWidth="12.6640625" defaultRowHeight="15.75" customHeight="1" x14ac:dyDescent="0.15"/>
  <cols>
    <col min="1" max="1" width="17.1640625" customWidth="1"/>
    <col min="2" max="2" width="15.1640625" customWidth="1"/>
    <col min="5" max="5" width="27.1640625" customWidth="1"/>
    <col min="6" max="6" width="31" customWidth="1"/>
    <col min="7" max="7" width="33.6640625" customWidth="1"/>
    <col min="8" max="8" width="27.83203125" customWidth="1"/>
    <col min="9" max="9" width="25.6640625" customWidth="1"/>
  </cols>
  <sheetData>
    <row r="2" spans="4:9" ht="15.75" customHeight="1" x14ac:dyDescent="0.15">
      <c r="D2" s="1"/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4:9" ht="15.75" customHeight="1" x14ac:dyDescent="0.15">
      <c r="D3" s="2">
        <v>1</v>
      </c>
      <c r="E3" s="2">
        <v>190856</v>
      </c>
      <c r="F3" s="2">
        <v>97446</v>
      </c>
      <c r="G3" s="2">
        <v>62000</v>
      </c>
      <c r="H3" s="2">
        <v>56687</v>
      </c>
      <c r="I3" s="2">
        <v>56021</v>
      </c>
    </row>
    <row r="4" spans="4:9" ht="15.75" customHeight="1" x14ac:dyDescent="0.15">
      <c r="D4" s="2">
        <f t="shared" ref="D4:D32" si="0">D3+1</f>
        <v>2</v>
      </c>
      <c r="E4" s="2">
        <v>189427</v>
      </c>
      <c r="F4" s="2">
        <v>95844</v>
      </c>
      <c r="G4" s="2">
        <v>52519</v>
      </c>
      <c r="H4" s="2">
        <v>51231</v>
      </c>
      <c r="I4" s="2">
        <v>52310</v>
      </c>
    </row>
    <row r="5" spans="4:9" ht="15.75" customHeight="1" x14ac:dyDescent="0.15">
      <c r="D5" s="2">
        <f t="shared" si="0"/>
        <v>3</v>
      </c>
      <c r="E5" s="2">
        <v>191812</v>
      </c>
      <c r="F5" s="2">
        <v>99365</v>
      </c>
      <c r="G5" s="2">
        <v>49135</v>
      </c>
      <c r="H5" s="2">
        <v>52940</v>
      </c>
      <c r="I5" s="2">
        <v>52372</v>
      </c>
    </row>
    <row r="6" spans="4:9" ht="15.75" customHeight="1" x14ac:dyDescent="0.15">
      <c r="D6" s="2">
        <f t="shared" si="0"/>
        <v>4</v>
      </c>
      <c r="E6" s="2">
        <v>187815</v>
      </c>
      <c r="F6" s="2">
        <v>102978</v>
      </c>
      <c r="G6" s="2">
        <v>59338</v>
      </c>
      <c r="H6" s="2">
        <v>51260</v>
      </c>
      <c r="I6" s="2">
        <v>53276</v>
      </c>
    </row>
    <row r="7" spans="4:9" ht="15.75" customHeight="1" x14ac:dyDescent="0.15">
      <c r="D7" s="2">
        <f t="shared" si="0"/>
        <v>5</v>
      </c>
      <c r="E7" s="2">
        <v>189142</v>
      </c>
      <c r="F7" s="2">
        <v>104761</v>
      </c>
      <c r="G7" s="2">
        <v>50424</v>
      </c>
      <c r="H7" s="2">
        <v>52584</v>
      </c>
      <c r="I7" s="2">
        <v>51458</v>
      </c>
    </row>
    <row r="8" spans="4:9" ht="15.75" customHeight="1" x14ac:dyDescent="0.15">
      <c r="D8" s="2">
        <f t="shared" si="0"/>
        <v>6</v>
      </c>
      <c r="E8" s="2">
        <v>191933</v>
      </c>
      <c r="F8" s="2">
        <v>94274</v>
      </c>
      <c r="G8" s="2">
        <v>50650</v>
      </c>
      <c r="H8" s="2">
        <v>51382</v>
      </c>
      <c r="I8" s="2">
        <v>48444</v>
      </c>
    </row>
    <row r="9" spans="4:9" ht="15.75" customHeight="1" x14ac:dyDescent="0.15">
      <c r="D9" s="2">
        <f t="shared" si="0"/>
        <v>7</v>
      </c>
      <c r="E9" s="2">
        <v>191709</v>
      </c>
      <c r="F9" s="2">
        <v>100859</v>
      </c>
      <c r="G9" s="2">
        <v>55907</v>
      </c>
      <c r="H9" s="2">
        <v>59641</v>
      </c>
      <c r="I9" s="2">
        <v>55527</v>
      </c>
    </row>
    <row r="10" spans="4:9" ht="15.75" customHeight="1" x14ac:dyDescent="0.15">
      <c r="D10" s="2">
        <f t="shared" si="0"/>
        <v>8</v>
      </c>
      <c r="E10" s="2">
        <v>188126</v>
      </c>
      <c r="F10" s="2">
        <v>104720</v>
      </c>
      <c r="G10" s="2">
        <v>49016</v>
      </c>
      <c r="H10" s="2">
        <v>51068</v>
      </c>
      <c r="I10" s="2">
        <v>51094</v>
      </c>
    </row>
    <row r="11" spans="4:9" ht="15.75" customHeight="1" x14ac:dyDescent="0.15">
      <c r="D11" s="2">
        <f t="shared" si="0"/>
        <v>9</v>
      </c>
      <c r="E11" s="2">
        <v>189751</v>
      </c>
      <c r="F11" s="2">
        <v>98778</v>
      </c>
      <c r="G11" s="2">
        <v>53558</v>
      </c>
      <c r="H11" s="2">
        <v>51450</v>
      </c>
      <c r="I11" s="2">
        <v>46679</v>
      </c>
    </row>
    <row r="12" spans="4:9" ht="15.75" customHeight="1" x14ac:dyDescent="0.15">
      <c r="D12" s="2">
        <f t="shared" si="0"/>
        <v>10</v>
      </c>
      <c r="E12" s="2">
        <v>188432</v>
      </c>
      <c r="F12" s="2">
        <v>99919</v>
      </c>
      <c r="G12" s="2">
        <v>52858</v>
      </c>
      <c r="H12" s="2">
        <v>50933</v>
      </c>
      <c r="I12" s="2">
        <v>49301</v>
      </c>
    </row>
    <row r="13" spans="4:9" ht="15.75" customHeight="1" x14ac:dyDescent="0.15">
      <c r="D13" s="2">
        <f t="shared" si="0"/>
        <v>11</v>
      </c>
      <c r="E13" s="2">
        <v>217310</v>
      </c>
      <c r="F13" s="2">
        <v>96550</v>
      </c>
      <c r="G13" s="2">
        <v>52694</v>
      </c>
      <c r="H13" s="2">
        <v>55092</v>
      </c>
      <c r="I13" s="2">
        <v>48221</v>
      </c>
    </row>
    <row r="14" spans="4:9" ht="15.75" customHeight="1" x14ac:dyDescent="0.15">
      <c r="D14" s="2">
        <f t="shared" si="0"/>
        <v>12</v>
      </c>
      <c r="E14" s="2">
        <v>178523</v>
      </c>
      <c r="F14" s="2">
        <v>96919</v>
      </c>
      <c r="G14" s="2">
        <v>49039</v>
      </c>
      <c r="H14" s="2">
        <v>53253</v>
      </c>
      <c r="I14" s="2">
        <v>49671</v>
      </c>
    </row>
    <row r="15" spans="4:9" ht="15.75" customHeight="1" x14ac:dyDescent="0.15">
      <c r="D15" s="2">
        <f t="shared" si="0"/>
        <v>13</v>
      </c>
      <c r="E15" s="2">
        <v>188878</v>
      </c>
      <c r="F15" s="2">
        <v>111099</v>
      </c>
      <c r="G15" s="2">
        <v>52741</v>
      </c>
      <c r="H15" s="2">
        <v>51717</v>
      </c>
      <c r="I15" s="2">
        <v>47454</v>
      </c>
    </row>
    <row r="16" spans="4:9" ht="15.75" customHeight="1" x14ac:dyDescent="0.15">
      <c r="D16" s="2">
        <f t="shared" si="0"/>
        <v>14</v>
      </c>
      <c r="E16" s="2">
        <v>189359</v>
      </c>
      <c r="F16" s="2">
        <v>101688</v>
      </c>
      <c r="G16" s="2">
        <v>51662</v>
      </c>
      <c r="H16" s="2">
        <v>53013</v>
      </c>
      <c r="I16" s="2">
        <v>53939</v>
      </c>
    </row>
    <row r="17" spans="4:9" ht="15.75" customHeight="1" x14ac:dyDescent="0.15">
      <c r="D17" s="2">
        <f t="shared" si="0"/>
        <v>15</v>
      </c>
      <c r="E17" s="2">
        <v>188893</v>
      </c>
      <c r="F17" s="2">
        <v>99630</v>
      </c>
      <c r="G17" s="2">
        <v>52144</v>
      </c>
      <c r="H17" s="2">
        <v>48327</v>
      </c>
      <c r="I17" s="2">
        <v>55262</v>
      </c>
    </row>
    <row r="18" spans="4:9" ht="15.75" customHeight="1" x14ac:dyDescent="0.15">
      <c r="D18" s="2">
        <f t="shared" si="0"/>
        <v>16</v>
      </c>
      <c r="E18" s="2">
        <v>189557</v>
      </c>
      <c r="F18" s="2">
        <v>95464</v>
      </c>
      <c r="G18" s="2">
        <v>52843</v>
      </c>
      <c r="H18" s="2">
        <v>52983</v>
      </c>
      <c r="I18" s="2">
        <v>52320</v>
      </c>
    </row>
    <row r="19" spans="4:9" ht="15.75" customHeight="1" x14ac:dyDescent="0.15">
      <c r="D19" s="2">
        <f t="shared" si="0"/>
        <v>17</v>
      </c>
      <c r="E19" s="2">
        <v>189317</v>
      </c>
      <c r="F19" s="2">
        <v>97672</v>
      </c>
      <c r="G19" s="2">
        <v>48271</v>
      </c>
      <c r="H19" s="2">
        <v>52966</v>
      </c>
      <c r="I19" s="2">
        <v>52361</v>
      </c>
    </row>
    <row r="20" spans="4:9" ht="15.75" customHeight="1" x14ac:dyDescent="0.15">
      <c r="D20" s="2">
        <f t="shared" si="0"/>
        <v>18</v>
      </c>
      <c r="E20" s="2">
        <v>196805</v>
      </c>
      <c r="F20" s="2">
        <v>95704</v>
      </c>
      <c r="G20" s="2">
        <v>60087</v>
      </c>
      <c r="H20" s="2">
        <v>53328</v>
      </c>
      <c r="I20" s="2">
        <v>51648</v>
      </c>
    </row>
    <row r="21" spans="4:9" ht="15.75" customHeight="1" x14ac:dyDescent="0.15">
      <c r="D21" s="2">
        <f t="shared" si="0"/>
        <v>19</v>
      </c>
      <c r="E21" s="2">
        <v>191361</v>
      </c>
      <c r="F21" s="2">
        <v>100130</v>
      </c>
      <c r="G21" s="2">
        <v>54773</v>
      </c>
      <c r="H21" s="2">
        <v>52160</v>
      </c>
      <c r="I21" s="2">
        <v>50496</v>
      </c>
    </row>
    <row r="22" spans="4:9" ht="15.75" customHeight="1" x14ac:dyDescent="0.15">
      <c r="D22" s="2">
        <f t="shared" si="0"/>
        <v>20</v>
      </c>
      <c r="E22" s="2">
        <v>187979</v>
      </c>
      <c r="F22" s="2">
        <v>100682</v>
      </c>
      <c r="G22" s="2">
        <v>52716</v>
      </c>
      <c r="H22" s="2">
        <v>56009</v>
      </c>
      <c r="I22" s="2">
        <v>53425</v>
      </c>
    </row>
    <row r="23" spans="4:9" ht="15.75" customHeight="1" x14ac:dyDescent="0.15">
      <c r="D23" s="2">
        <f t="shared" si="0"/>
        <v>21</v>
      </c>
      <c r="E23" s="2">
        <v>192518</v>
      </c>
      <c r="F23" s="2">
        <v>113219</v>
      </c>
      <c r="G23" s="2">
        <v>50698</v>
      </c>
      <c r="H23" s="2">
        <v>51296</v>
      </c>
      <c r="I23" s="2">
        <v>47299</v>
      </c>
    </row>
    <row r="24" spans="4:9" ht="15.75" customHeight="1" x14ac:dyDescent="0.15">
      <c r="D24" s="2">
        <f t="shared" si="0"/>
        <v>22</v>
      </c>
      <c r="E24" s="2">
        <v>190379</v>
      </c>
      <c r="F24" s="2">
        <v>101554</v>
      </c>
      <c r="G24" s="2">
        <v>54487</v>
      </c>
      <c r="H24" s="2">
        <v>50542</v>
      </c>
      <c r="I24" s="2">
        <v>50580</v>
      </c>
    </row>
    <row r="25" spans="4:9" ht="15.75" customHeight="1" x14ac:dyDescent="0.15">
      <c r="D25" s="2">
        <f t="shared" si="0"/>
        <v>23</v>
      </c>
      <c r="E25" s="2">
        <v>192196</v>
      </c>
      <c r="F25" s="2">
        <v>98825</v>
      </c>
      <c r="G25" s="2">
        <v>66335</v>
      </c>
      <c r="H25" s="2">
        <v>50483</v>
      </c>
      <c r="I25" s="2">
        <v>48364</v>
      </c>
    </row>
    <row r="26" spans="4:9" ht="15.75" customHeight="1" x14ac:dyDescent="0.15">
      <c r="D26" s="2">
        <f t="shared" si="0"/>
        <v>24</v>
      </c>
      <c r="E26" s="2">
        <v>190903</v>
      </c>
      <c r="F26" s="2">
        <v>96015</v>
      </c>
      <c r="G26" s="2">
        <v>55401</v>
      </c>
      <c r="H26" s="2">
        <v>49414</v>
      </c>
      <c r="I26" s="2">
        <v>47898</v>
      </c>
    </row>
    <row r="27" spans="4:9" ht="15.75" customHeight="1" x14ac:dyDescent="0.15">
      <c r="D27" s="2">
        <f t="shared" si="0"/>
        <v>25</v>
      </c>
      <c r="E27" s="2">
        <v>192131</v>
      </c>
      <c r="F27" s="2">
        <v>100941</v>
      </c>
      <c r="G27" s="2">
        <v>53249</v>
      </c>
      <c r="H27" s="2">
        <v>49885</v>
      </c>
      <c r="I27" s="2">
        <v>49907</v>
      </c>
    </row>
    <row r="28" spans="4:9" ht="15.75" customHeight="1" x14ac:dyDescent="0.15">
      <c r="D28" s="2">
        <f t="shared" si="0"/>
        <v>26</v>
      </c>
      <c r="E28" s="2">
        <v>189433</v>
      </c>
      <c r="F28" s="2">
        <v>102293</v>
      </c>
      <c r="G28" s="2">
        <v>48463</v>
      </c>
      <c r="H28" s="2">
        <v>51927</v>
      </c>
      <c r="I28" s="2">
        <v>50931</v>
      </c>
    </row>
    <row r="29" spans="4:9" ht="15.75" customHeight="1" x14ac:dyDescent="0.15">
      <c r="D29" s="2">
        <f t="shared" si="0"/>
        <v>27</v>
      </c>
      <c r="E29" s="2">
        <v>187359</v>
      </c>
      <c r="F29" s="2">
        <v>101251</v>
      </c>
      <c r="G29" s="2">
        <v>51351</v>
      </c>
      <c r="H29" s="2">
        <v>49528</v>
      </c>
      <c r="I29" s="2">
        <v>46347</v>
      </c>
    </row>
    <row r="30" spans="4:9" ht="15.75" customHeight="1" x14ac:dyDescent="0.15">
      <c r="D30" s="2">
        <f t="shared" si="0"/>
        <v>28</v>
      </c>
      <c r="E30" s="2">
        <v>165265</v>
      </c>
      <c r="F30" s="2">
        <v>96679</v>
      </c>
      <c r="G30" s="2">
        <v>55943</v>
      </c>
      <c r="H30" s="2">
        <v>52334</v>
      </c>
      <c r="I30" s="2">
        <v>48961</v>
      </c>
    </row>
    <row r="31" spans="4:9" ht="15.75" customHeight="1" x14ac:dyDescent="0.15">
      <c r="D31" s="2">
        <f t="shared" si="0"/>
        <v>29</v>
      </c>
      <c r="E31" s="2">
        <v>189764</v>
      </c>
      <c r="F31" s="2">
        <v>101437</v>
      </c>
      <c r="G31" s="2">
        <v>54568</v>
      </c>
      <c r="H31" s="2">
        <v>48110</v>
      </c>
      <c r="I31" s="2">
        <v>48268</v>
      </c>
    </row>
    <row r="32" spans="4:9" ht="15.75" customHeight="1" x14ac:dyDescent="0.15">
      <c r="D32" s="2">
        <f t="shared" si="0"/>
        <v>30</v>
      </c>
      <c r="E32" s="2">
        <v>188464</v>
      </c>
      <c r="F32" s="2">
        <v>99059</v>
      </c>
      <c r="G32" s="2">
        <v>50022</v>
      </c>
      <c r="H32" s="2">
        <v>51109</v>
      </c>
      <c r="I32" s="2">
        <v>46613</v>
      </c>
    </row>
    <row r="33" spans="1:9" ht="15.75" customHeight="1" x14ac:dyDescent="0.15">
      <c r="D33" s="1" t="s">
        <v>15</v>
      </c>
      <c r="E33" s="2">
        <f t="shared" ref="E33:I33" si="1">AVERAGE(E3:E32)</f>
        <v>189846.56666666668</v>
      </c>
      <c r="F33" s="2">
        <f t="shared" si="1"/>
        <v>100191.83333333333</v>
      </c>
      <c r="G33" s="2">
        <f t="shared" si="1"/>
        <v>53429.73333333333</v>
      </c>
      <c r="H33" s="2">
        <f t="shared" si="1"/>
        <v>52088.4</v>
      </c>
      <c r="I33" s="2">
        <f t="shared" si="1"/>
        <v>50548.23333333333</v>
      </c>
    </row>
    <row r="34" spans="1:9" ht="15.75" customHeight="1" x14ac:dyDescent="0.15">
      <c r="D34" s="1" t="s">
        <v>16</v>
      </c>
      <c r="E34" s="2">
        <f t="shared" ref="E34:I34" si="2">STDEV(E3:E32)</f>
        <v>7412.461830724933</v>
      </c>
      <c r="F34" s="2">
        <f t="shared" si="2"/>
        <v>4236.7052023080823</v>
      </c>
      <c r="G34" s="2">
        <f t="shared" si="2"/>
        <v>4136.7770474404215</v>
      </c>
      <c r="H34" s="2">
        <f t="shared" si="2"/>
        <v>2413.317056209793</v>
      </c>
      <c r="I34" s="2">
        <f t="shared" si="2"/>
        <v>2753.3420279704637</v>
      </c>
    </row>
    <row r="36" spans="1:9" ht="15.75" customHeight="1" x14ac:dyDescent="0.15">
      <c r="A36" s="1" t="s">
        <v>7</v>
      </c>
      <c r="B36" s="1" t="s">
        <v>83</v>
      </c>
      <c r="C36" s="1" t="s">
        <v>47</v>
      </c>
    </row>
    <row r="37" spans="1:9" ht="15.75" customHeight="1" x14ac:dyDescent="0.15">
      <c r="A37" s="2">
        <f>STDEV(E3:E32)</f>
        <v>7412.461830724933</v>
      </c>
      <c r="B37" s="2">
        <f>AVERAGE(E3:E32)</f>
        <v>189846.56666666668</v>
      </c>
      <c r="C37" s="2">
        <v>1</v>
      </c>
    </row>
    <row r="38" spans="1:9" ht="15.75" customHeight="1" x14ac:dyDescent="0.15">
      <c r="A38" s="2">
        <f>STDEV(F3:F32)</f>
        <v>4236.7052023080823</v>
      </c>
      <c r="B38" s="2">
        <f>AVERAGE(F3:F32)</f>
        <v>100191.83333333333</v>
      </c>
      <c r="C38" s="2">
        <v>2</v>
      </c>
    </row>
    <row r="39" spans="1:9" ht="15.75" customHeight="1" x14ac:dyDescent="0.15">
      <c r="A39" s="2">
        <f>STDEV(G3:G32)</f>
        <v>4136.7770474404215</v>
      </c>
      <c r="B39" s="2">
        <f>AVERAGE(G3:G32)</f>
        <v>53429.73333333333</v>
      </c>
      <c r="C39" s="2">
        <v>4</v>
      </c>
    </row>
    <row r="40" spans="1:9" ht="15.75" customHeight="1" x14ac:dyDescent="0.15">
      <c r="A40" s="2">
        <f>STDEV(H3:H32)</f>
        <v>2413.317056209793</v>
      </c>
      <c r="B40" s="2">
        <f>AVERAGE(H3:H32)</f>
        <v>52088.4</v>
      </c>
      <c r="C40" s="2">
        <v>8</v>
      </c>
    </row>
    <row r="41" spans="1:9" ht="15.75" customHeight="1" x14ac:dyDescent="0.15">
      <c r="A41" s="2">
        <f>STDEV(I3:I32)</f>
        <v>2753.3420279704637</v>
      </c>
      <c r="B41" s="2">
        <f>AVERAGE(I3:I32)</f>
        <v>50548.23333333333</v>
      </c>
      <c r="C41" s="2">
        <v>12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3:H41"/>
  <sheetViews>
    <sheetView workbookViewId="0"/>
  </sheetViews>
  <sheetFormatPr baseColWidth="10" defaultColWidth="12.6640625" defaultRowHeight="15.75" customHeight="1" x14ac:dyDescent="0.15"/>
  <cols>
    <col min="1" max="1" width="17.1640625" customWidth="1"/>
    <col min="2" max="2" width="19" customWidth="1"/>
    <col min="3" max="3" width="16.6640625" customWidth="1"/>
    <col min="4" max="4" width="25.1640625" customWidth="1"/>
    <col min="5" max="5" width="32.1640625" customWidth="1"/>
    <col min="6" max="6" width="30.33203125" customWidth="1"/>
    <col min="7" max="7" width="24.83203125" customWidth="1"/>
    <col min="8" max="8" width="26" customWidth="1"/>
  </cols>
  <sheetData>
    <row r="3" spans="3:8" ht="15.75" customHeight="1" x14ac:dyDescent="0.15">
      <c r="C3" s="1"/>
      <c r="D3" s="1" t="s">
        <v>84</v>
      </c>
      <c r="E3" s="1" t="s">
        <v>85</v>
      </c>
      <c r="F3" s="1" t="s">
        <v>86</v>
      </c>
      <c r="G3" s="1" t="s">
        <v>87</v>
      </c>
      <c r="H3" s="1" t="s">
        <v>88</v>
      </c>
    </row>
    <row r="4" spans="3:8" ht="15.75" customHeight="1" x14ac:dyDescent="0.15">
      <c r="C4" s="2">
        <v>1</v>
      </c>
      <c r="D4" s="2">
        <v>412731</v>
      </c>
      <c r="E4" s="2">
        <v>280418</v>
      </c>
      <c r="F4" s="2">
        <v>157662</v>
      </c>
      <c r="G4" s="2">
        <v>141821</v>
      </c>
      <c r="H4" s="2">
        <v>139437</v>
      </c>
    </row>
    <row r="5" spans="3:8" ht="15.75" customHeight="1" x14ac:dyDescent="0.15">
      <c r="C5" s="2">
        <f t="shared" ref="C5:C33" si="0">C4+1</f>
        <v>2</v>
      </c>
      <c r="D5" s="2">
        <v>517217</v>
      </c>
      <c r="E5" s="2">
        <v>268524</v>
      </c>
      <c r="F5" s="2">
        <v>161013</v>
      </c>
      <c r="G5" s="2">
        <v>135749</v>
      </c>
      <c r="H5" s="2">
        <v>141646</v>
      </c>
    </row>
    <row r="6" spans="3:8" ht="15.75" customHeight="1" x14ac:dyDescent="0.15">
      <c r="C6" s="2">
        <f t="shared" si="0"/>
        <v>3</v>
      </c>
      <c r="D6" s="2">
        <v>537658</v>
      </c>
      <c r="E6" s="2">
        <v>267427</v>
      </c>
      <c r="F6" s="2">
        <v>137377</v>
      </c>
      <c r="G6" s="2">
        <v>142287</v>
      </c>
      <c r="H6" s="2">
        <v>138013</v>
      </c>
    </row>
    <row r="7" spans="3:8" ht="15.75" customHeight="1" x14ac:dyDescent="0.15">
      <c r="C7" s="2">
        <f t="shared" si="0"/>
        <v>4</v>
      </c>
      <c r="D7" s="2">
        <v>531037</v>
      </c>
      <c r="E7" s="2">
        <v>268931</v>
      </c>
      <c r="F7" s="2">
        <v>137874</v>
      </c>
      <c r="G7" s="2">
        <v>142694</v>
      </c>
      <c r="H7" s="2">
        <v>141917</v>
      </c>
    </row>
    <row r="8" spans="3:8" ht="15.75" customHeight="1" x14ac:dyDescent="0.15">
      <c r="C8" s="2">
        <f t="shared" si="0"/>
        <v>5</v>
      </c>
      <c r="D8" s="2">
        <v>534250</v>
      </c>
      <c r="E8" s="2">
        <v>269065</v>
      </c>
      <c r="F8" s="2">
        <v>142441</v>
      </c>
      <c r="G8" s="2">
        <v>134517</v>
      </c>
      <c r="H8" s="2">
        <v>139893</v>
      </c>
    </row>
    <row r="9" spans="3:8" ht="15.75" customHeight="1" x14ac:dyDescent="0.15">
      <c r="C9" s="2">
        <f t="shared" si="0"/>
        <v>6</v>
      </c>
      <c r="D9" s="2">
        <v>547058</v>
      </c>
      <c r="E9" s="2">
        <v>269445</v>
      </c>
      <c r="F9" s="2">
        <v>141898</v>
      </c>
      <c r="G9" s="2">
        <v>136950</v>
      </c>
      <c r="H9" s="2">
        <v>138914</v>
      </c>
    </row>
    <row r="10" spans="3:8" ht="15.75" customHeight="1" x14ac:dyDescent="0.15">
      <c r="C10" s="2">
        <f t="shared" si="0"/>
        <v>7</v>
      </c>
      <c r="D10" s="2">
        <v>411906</v>
      </c>
      <c r="E10" s="2">
        <v>280388</v>
      </c>
      <c r="F10" s="2">
        <v>138348</v>
      </c>
      <c r="G10" s="2">
        <v>135974</v>
      </c>
      <c r="H10" s="2">
        <v>142753</v>
      </c>
    </row>
    <row r="11" spans="3:8" ht="15.75" customHeight="1" x14ac:dyDescent="0.15">
      <c r="C11" s="2">
        <f t="shared" si="0"/>
        <v>8</v>
      </c>
      <c r="D11" s="2">
        <v>529493</v>
      </c>
      <c r="E11" s="2">
        <v>267350</v>
      </c>
      <c r="F11" s="2">
        <v>138759</v>
      </c>
      <c r="G11" s="2">
        <v>146145</v>
      </c>
      <c r="H11" s="2">
        <v>145571</v>
      </c>
    </row>
    <row r="12" spans="3:8" ht="15.75" customHeight="1" x14ac:dyDescent="0.15">
      <c r="C12" s="2">
        <f t="shared" si="0"/>
        <v>9</v>
      </c>
      <c r="D12" s="2">
        <v>535933</v>
      </c>
      <c r="E12" s="2">
        <v>270241</v>
      </c>
      <c r="F12" s="2">
        <v>139428</v>
      </c>
      <c r="G12" s="2">
        <v>138097</v>
      </c>
      <c r="H12" s="2">
        <v>140126</v>
      </c>
    </row>
    <row r="13" spans="3:8" ht="15.75" customHeight="1" x14ac:dyDescent="0.15">
      <c r="C13" s="2">
        <f t="shared" si="0"/>
        <v>10</v>
      </c>
      <c r="D13" s="2">
        <v>547830</v>
      </c>
      <c r="E13" s="2">
        <v>274846</v>
      </c>
      <c r="F13" s="2">
        <v>137555</v>
      </c>
      <c r="G13" s="2">
        <v>133658</v>
      </c>
      <c r="H13" s="2">
        <v>146328</v>
      </c>
    </row>
    <row r="14" spans="3:8" ht="15.75" customHeight="1" x14ac:dyDescent="0.15">
      <c r="C14" s="2">
        <f t="shared" si="0"/>
        <v>11</v>
      </c>
      <c r="D14" s="2">
        <v>530115</v>
      </c>
      <c r="E14" s="2">
        <v>269033</v>
      </c>
      <c r="F14" s="2">
        <v>147846</v>
      </c>
      <c r="G14" s="2">
        <v>132566</v>
      </c>
      <c r="H14" s="2">
        <v>140113</v>
      </c>
    </row>
    <row r="15" spans="3:8" ht="15.75" customHeight="1" x14ac:dyDescent="0.15">
      <c r="C15" s="2">
        <f t="shared" si="0"/>
        <v>12</v>
      </c>
      <c r="D15" s="2">
        <v>543713</v>
      </c>
      <c r="E15" s="2">
        <v>280623</v>
      </c>
      <c r="F15" s="2">
        <v>140619</v>
      </c>
      <c r="G15" s="2">
        <v>136268</v>
      </c>
      <c r="H15" s="2">
        <v>139303</v>
      </c>
    </row>
    <row r="16" spans="3:8" ht="15.75" customHeight="1" x14ac:dyDescent="0.15">
      <c r="C16" s="2">
        <f t="shared" si="0"/>
        <v>13</v>
      </c>
      <c r="D16" s="2">
        <v>532116</v>
      </c>
      <c r="E16" s="2">
        <v>273778</v>
      </c>
      <c r="F16" s="2">
        <v>147291</v>
      </c>
      <c r="G16" s="2">
        <v>141867</v>
      </c>
      <c r="H16" s="2">
        <v>142793</v>
      </c>
    </row>
    <row r="17" spans="3:8" ht="15.75" customHeight="1" x14ac:dyDescent="0.15">
      <c r="C17" s="2">
        <f t="shared" si="0"/>
        <v>14</v>
      </c>
      <c r="D17" s="2">
        <v>543009</v>
      </c>
      <c r="E17" s="2">
        <v>271502</v>
      </c>
      <c r="F17" s="2">
        <v>138659</v>
      </c>
      <c r="G17" s="2">
        <v>142672</v>
      </c>
      <c r="H17" s="2">
        <v>143155</v>
      </c>
    </row>
    <row r="18" spans="3:8" ht="15.75" customHeight="1" x14ac:dyDescent="0.15">
      <c r="C18" s="2">
        <f t="shared" si="0"/>
        <v>15</v>
      </c>
      <c r="D18" s="2">
        <v>528950</v>
      </c>
      <c r="E18" s="2">
        <v>267983</v>
      </c>
      <c r="F18" s="2">
        <v>150982</v>
      </c>
      <c r="G18" s="2">
        <v>140120</v>
      </c>
      <c r="H18" s="2">
        <v>140433</v>
      </c>
    </row>
    <row r="19" spans="3:8" ht="15.75" customHeight="1" x14ac:dyDescent="0.15">
      <c r="C19" s="2">
        <f t="shared" si="0"/>
        <v>16</v>
      </c>
      <c r="D19" s="2">
        <v>538593</v>
      </c>
      <c r="E19" s="2">
        <v>274094</v>
      </c>
      <c r="F19" s="2">
        <v>141477</v>
      </c>
      <c r="G19" s="2">
        <v>137594</v>
      </c>
      <c r="H19" s="2">
        <v>141061</v>
      </c>
    </row>
    <row r="20" spans="3:8" ht="15.75" customHeight="1" x14ac:dyDescent="0.15">
      <c r="C20" s="2">
        <f t="shared" si="0"/>
        <v>17</v>
      </c>
      <c r="D20" s="2">
        <v>533036</v>
      </c>
      <c r="E20" s="2">
        <v>269396</v>
      </c>
      <c r="F20" s="2">
        <v>141412</v>
      </c>
      <c r="G20" s="2">
        <v>130506</v>
      </c>
      <c r="H20" s="2">
        <v>141157</v>
      </c>
    </row>
    <row r="21" spans="3:8" ht="15.75" customHeight="1" x14ac:dyDescent="0.15">
      <c r="C21" s="2">
        <f t="shared" si="0"/>
        <v>18</v>
      </c>
      <c r="D21" s="2">
        <v>523742</v>
      </c>
      <c r="E21" s="2">
        <v>273311</v>
      </c>
      <c r="F21" s="2">
        <v>153469</v>
      </c>
      <c r="G21" s="2">
        <v>134024</v>
      </c>
      <c r="H21" s="2">
        <v>140339</v>
      </c>
    </row>
    <row r="22" spans="3:8" ht="15.75" customHeight="1" x14ac:dyDescent="0.15">
      <c r="C22" s="2">
        <f t="shared" si="0"/>
        <v>19</v>
      </c>
      <c r="D22" s="2">
        <v>529081</v>
      </c>
      <c r="E22" s="2">
        <v>271645</v>
      </c>
      <c r="F22" s="2">
        <v>140938</v>
      </c>
      <c r="G22" s="2">
        <v>143834</v>
      </c>
      <c r="H22" s="2">
        <v>139356</v>
      </c>
    </row>
    <row r="23" spans="3:8" ht="15.75" customHeight="1" x14ac:dyDescent="0.15">
      <c r="C23" s="2">
        <f t="shared" si="0"/>
        <v>20</v>
      </c>
      <c r="D23" s="2">
        <v>532154</v>
      </c>
      <c r="E23" s="2">
        <v>279642</v>
      </c>
      <c r="F23" s="2">
        <v>139830</v>
      </c>
      <c r="G23" s="2">
        <v>138590</v>
      </c>
      <c r="H23" s="2">
        <v>139440</v>
      </c>
    </row>
    <row r="24" spans="3:8" ht="15.75" customHeight="1" x14ac:dyDescent="0.15">
      <c r="C24" s="2">
        <f t="shared" si="0"/>
        <v>21</v>
      </c>
      <c r="D24" s="2">
        <v>525144</v>
      </c>
      <c r="E24" s="2">
        <v>269568</v>
      </c>
      <c r="F24" s="2">
        <v>155865</v>
      </c>
      <c r="G24" s="2">
        <v>139458</v>
      </c>
      <c r="H24" s="2">
        <v>137869</v>
      </c>
    </row>
    <row r="25" spans="3:8" ht="15.75" customHeight="1" x14ac:dyDescent="0.15">
      <c r="C25" s="2">
        <f t="shared" si="0"/>
        <v>22</v>
      </c>
      <c r="D25" s="2">
        <v>548854</v>
      </c>
      <c r="E25" s="2">
        <v>264748</v>
      </c>
      <c r="F25" s="2">
        <v>139293</v>
      </c>
      <c r="G25" s="2">
        <v>145098</v>
      </c>
      <c r="H25" s="2">
        <v>140123</v>
      </c>
    </row>
    <row r="26" spans="3:8" ht="15.75" customHeight="1" x14ac:dyDescent="0.15">
      <c r="C26" s="2">
        <f t="shared" si="0"/>
        <v>23</v>
      </c>
      <c r="D26" s="2">
        <v>545670</v>
      </c>
      <c r="E26" s="2">
        <v>269943</v>
      </c>
      <c r="F26" s="2">
        <v>138714</v>
      </c>
      <c r="G26" s="2">
        <v>137815</v>
      </c>
      <c r="H26" s="2">
        <v>137454</v>
      </c>
    </row>
    <row r="27" spans="3:8" ht="15.75" customHeight="1" x14ac:dyDescent="0.15">
      <c r="C27" s="2">
        <f t="shared" si="0"/>
        <v>24</v>
      </c>
      <c r="D27" s="2">
        <v>529624</v>
      </c>
      <c r="E27" s="2">
        <v>277006</v>
      </c>
      <c r="F27" s="2">
        <v>138493</v>
      </c>
      <c r="G27" s="2">
        <v>141151</v>
      </c>
      <c r="H27" s="2">
        <v>138765</v>
      </c>
    </row>
    <row r="28" spans="3:8" ht="15.75" customHeight="1" x14ac:dyDescent="0.15">
      <c r="C28" s="2">
        <f t="shared" si="0"/>
        <v>25</v>
      </c>
      <c r="D28" s="2">
        <v>545971</v>
      </c>
      <c r="E28" s="2">
        <v>268785</v>
      </c>
      <c r="F28" s="2">
        <v>136002</v>
      </c>
      <c r="G28" s="2">
        <v>141318</v>
      </c>
      <c r="H28" s="2">
        <v>140321</v>
      </c>
    </row>
    <row r="29" spans="3:8" ht="15.75" customHeight="1" x14ac:dyDescent="0.15">
      <c r="C29" s="2">
        <f t="shared" si="0"/>
        <v>26</v>
      </c>
      <c r="D29" s="2">
        <v>529585</v>
      </c>
      <c r="E29" s="2">
        <v>280241</v>
      </c>
      <c r="F29" s="2">
        <v>134758</v>
      </c>
      <c r="G29" s="2">
        <v>127769</v>
      </c>
      <c r="H29" s="2">
        <v>141689</v>
      </c>
    </row>
    <row r="30" spans="3:8" ht="15.75" customHeight="1" x14ac:dyDescent="0.15">
      <c r="C30" s="2">
        <f t="shared" si="0"/>
        <v>27</v>
      </c>
      <c r="D30" s="2">
        <v>565628</v>
      </c>
      <c r="E30" s="2">
        <v>264260</v>
      </c>
      <c r="F30" s="2">
        <v>144996</v>
      </c>
      <c r="G30" s="2">
        <v>130213</v>
      </c>
      <c r="H30" s="2">
        <v>140527</v>
      </c>
    </row>
    <row r="31" spans="3:8" ht="15.75" customHeight="1" x14ac:dyDescent="0.15">
      <c r="C31" s="2">
        <f t="shared" si="0"/>
        <v>28</v>
      </c>
      <c r="D31" s="2">
        <v>529650</v>
      </c>
      <c r="E31" s="2">
        <v>280319</v>
      </c>
      <c r="F31" s="2">
        <v>140390</v>
      </c>
      <c r="G31" s="2">
        <v>138931</v>
      </c>
      <c r="H31" s="2">
        <v>141470</v>
      </c>
    </row>
    <row r="32" spans="3:8" ht="15.75" customHeight="1" x14ac:dyDescent="0.15">
      <c r="C32" s="2">
        <f t="shared" si="0"/>
        <v>29</v>
      </c>
      <c r="D32" s="2">
        <v>555192</v>
      </c>
      <c r="E32" s="2">
        <v>270382</v>
      </c>
      <c r="F32" s="2">
        <v>135190</v>
      </c>
      <c r="G32" s="2">
        <v>138806</v>
      </c>
      <c r="H32" s="2">
        <v>140792</v>
      </c>
    </row>
    <row r="33" spans="1:8" ht="15.75" customHeight="1" x14ac:dyDescent="0.15">
      <c r="C33" s="2">
        <f t="shared" si="0"/>
        <v>30</v>
      </c>
      <c r="D33" s="2">
        <v>543275</v>
      </c>
      <c r="E33" s="2">
        <v>272166</v>
      </c>
      <c r="F33" s="2">
        <v>136479</v>
      </c>
      <c r="G33" s="2">
        <v>138294</v>
      </c>
      <c r="H33" s="2">
        <v>130526</v>
      </c>
    </row>
    <row r="34" spans="1:8" ht="15.75" customHeight="1" x14ac:dyDescent="0.15">
      <c r="C34" s="1" t="s">
        <v>15</v>
      </c>
      <c r="D34" s="2">
        <f t="shared" ref="D34:H34" si="1">AVERAGE(D4:D33)</f>
        <v>528607.16666666663</v>
      </c>
      <c r="E34" s="2">
        <f t="shared" si="1"/>
        <v>272168.66666666669</v>
      </c>
      <c r="F34" s="2">
        <f t="shared" si="1"/>
        <v>142501.93333333332</v>
      </c>
      <c r="G34" s="2">
        <f t="shared" si="1"/>
        <v>138159.53333333333</v>
      </c>
      <c r="H34" s="2">
        <f t="shared" si="1"/>
        <v>140376.13333333333</v>
      </c>
    </row>
    <row r="35" spans="1:8" ht="15.75" customHeight="1" x14ac:dyDescent="0.15">
      <c r="C35" s="1" t="s">
        <v>16</v>
      </c>
      <c r="D35" s="2">
        <f t="shared" ref="D35:H35" si="2">STDEV(D4:D33)</f>
        <v>33205.965170467469</v>
      </c>
      <c r="E35" s="2">
        <f t="shared" si="2"/>
        <v>4922.3695746952053</v>
      </c>
      <c r="F35" s="2">
        <f t="shared" si="2"/>
        <v>6901.9509232626715</v>
      </c>
      <c r="G35" s="2">
        <f t="shared" si="2"/>
        <v>4482.0385658478135</v>
      </c>
      <c r="H35" s="2">
        <f t="shared" si="2"/>
        <v>2731.4322343002968</v>
      </c>
    </row>
    <row r="36" spans="1:8" ht="15.75" customHeight="1" x14ac:dyDescent="0.15">
      <c r="A36" s="1" t="s">
        <v>7</v>
      </c>
      <c r="B36" s="1" t="s">
        <v>83</v>
      </c>
      <c r="C36" s="1" t="s">
        <v>47</v>
      </c>
    </row>
    <row r="37" spans="1:8" ht="15.75" customHeight="1" x14ac:dyDescent="0.15">
      <c r="A37" s="2">
        <f>STDEV(D4:D33)</f>
        <v>33205.965170467469</v>
      </c>
      <c r="B37" s="2">
        <f>AVERAGE(D4:D33)</f>
        <v>528607.16666666663</v>
      </c>
      <c r="C37" s="2">
        <v>1</v>
      </c>
    </row>
    <row r="38" spans="1:8" ht="15.75" customHeight="1" x14ac:dyDescent="0.15">
      <c r="A38" s="2">
        <f>STDEV(E4:E33)</f>
        <v>4922.3695746952053</v>
      </c>
      <c r="B38" s="2">
        <f>AVERAGE(E4:E33)</f>
        <v>272168.66666666669</v>
      </c>
      <c r="C38" s="2">
        <v>2</v>
      </c>
    </row>
    <row r="39" spans="1:8" ht="15.75" customHeight="1" x14ac:dyDescent="0.15">
      <c r="A39" s="2">
        <f>STDEV(F4:F33)</f>
        <v>6901.9509232626715</v>
      </c>
      <c r="B39" s="2">
        <f>AVERAGE(F4:F33)</f>
        <v>142501.93333333332</v>
      </c>
      <c r="C39" s="2">
        <v>4</v>
      </c>
    </row>
    <row r="40" spans="1:8" ht="15.75" customHeight="1" x14ac:dyDescent="0.15">
      <c r="A40" s="2">
        <f>STDEV(G4:G33)</f>
        <v>4482.0385658478135</v>
      </c>
      <c r="B40" s="2">
        <f>AVERAGE(G4:G33)</f>
        <v>138159.53333333333</v>
      </c>
      <c r="C40" s="2">
        <v>8</v>
      </c>
    </row>
    <row r="41" spans="1:8" ht="15.75" customHeight="1" x14ac:dyDescent="0.15">
      <c r="A41" s="2">
        <f>STDEV(H4:H33)</f>
        <v>2731.4322343002968</v>
      </c>
      <c r="B41" s="2">
        <f>AVERAGE(H4:H33)</f>
        <v>140376.13333333333</v>
      </c>
      <c r="C41" s="2">
        <v>12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2:H41"/>
  <sheetViews>
    <sheetView tabSelected="1" workbookViewId="0"/>
  </sheetViews>
  <sheetFormatPr baseColWidth="10" defaultColWidth="12.6640625" defaultRowHeight="15.75" customHeight="1" x14ac:dyDescent="0.15"/>
  <cols>
    <col min="1" max="1" width="19.5" customWidth="1"/>
    <col min="2" max="2" width="16.5" customWidth="1"/>
    <col min="3" max="3" width="16" customWidth="1"/>
    <col min="4" max="4" width="27.6640625" customWidth="1"/>
    <col min="5" max="5" width="32" customWidth="1"/>
    <col min="6" max="6" width="31.1640625" customWidth="1"/>
    <col min="7" max="7" width="29.5" customWidth="1"/>
    <col min="8" max="8" width="25.33203125" customWidth="1"/>
  </cols>
  <sheetData>
    <row r="2" spans="3:8" ht="15.75" customHeight="1" x14ac:dyDescent="0.15">
      <c r="C2" s="1"/>
      <c r="D2" s="1" t="s">
        <v>89</v>
      </c>
      <c r="E2" s="1" t="s">
        <v>90</v>
      </c>
      <c r="F2" s="1" t="s">
        <v>91</v>
      </c>
      <c r="G2" s="1" t="s">
        <v>92</v>
      </c>
      <c r="H2" s="1" t="s">
        <v>93</v>
      </c>
    </row>
    <row r="3" spans="3:8" ht="15.75" customHeight="1" x14ac:dyDescent="0.15">
      <c r="C3" s="2">
        <v>1</v>
      </c>
      <c r="D3" s="2">
        <v>1153365</v>
      </c>
      <c r="E3" s="2">
        <v>578222</v>
      </c>
      <c r="F3" s="2">
        <v>303713</v>
      </c>
      <c r="G3" s="2">
        <v>287470</v>
      </c>
      <c r="H3" s="2">
        <v>293227</v>
      </c>
    </row>
    <row r="4" spans="3:8" ht="15.75" customHeight="1" x14ac:dyDescent="0.15">
      <c r="C4" s="2">
        <f t="shared" ref="C4:C32" si="0">C3+1</f>
        <v>2</v>
      </c>
      <c r="D4" s="2">
        <v>1169462</v>
      </c>
      <c r="E4" s="2">
        <v>579433</v>
      </c>
      <c r="F4" s="2">
        <v>293485</v>
      </c>
      <c r="G4" s="2">
        <v>261871</v>
      </c>
      <c r="H4" s="2">
        <v>282285</v>
      </c>
    </row>
    <row r="5" spans="3:8" ht="15.75" customHeight="1" x14ac:dyDescent="0.15">
      <c r="C5" s="2">
        <f t="shared" si="0"/>
        <v>3</v>
      </c>
      <c r="D5" s="2">
        <v>1158510</v>
      </c>
      <c r="E5" s="2">
        <v>581114</v>
      </c>
      <c r="F5" s="2">
        <v>299655</v>
      </c>
      <c r="G5" s="2">
        <v>265359</v>
      </c>
      <c r="H5" s="2">
        <v>298258</v>
      </c>
    </row>
    <row r="6" spans="3:8" ht="15.75" customHeight="1" x14ac:dyDescent="0.15">
      <c r="C6" s="2">
        <f t="shared" si="0"/>
        <v>4</v>
      </c>
      <c r="D6" s="2">
        <v>1108700</v>
      </c>
      <c r="E6" s="2">
        <v>589734</v>
      </c>
      <c r="F6" s="2">
        <v>298960</v>
      </c>
      <c r="G6" s="2">
        <v>303209</v>
      </c>
      <c r="H6" s="2">
        <v>295661</v>
      </c>
    </row>
    <row r="7" spans="3:8" ht="15.75" customHeight="1" x14ac:dyDescent="0.15">
      <c r="C7" s="2">
        <f t="shared" si="0"/>
        <v>5</v>
      </c>
      <c r="D7" s="2">
        <v>1153377</v>
      </c>
      <c r="E7" s="2">
        <v>576183</v>
      </c>
      <c r="F7" s="2">
        <v>291931</v>
      </c>
      <c r="G7" s="2">
        <v>278434</v>
      </c>
      <c r="H7" s="2">
        <v>294818</v>
      </c>
    </row>
    <row r="8" spans="3:8" ht="15.75" customHeight="1" x14ac:dyDescent="0.15">
      <c r="C8" s="2">
        <f t="shared" si="0"/>
        <v>6</v>
      </c>
      <c r="D8" s="2">
        <v>1153047</v>
      </c>
      <c r="E8" s="2">
        <v>586923</v>
      </c>
      <c r="F8" s="2">
        <v>294056</v>
      </c>
      <c r="G8" s="2">
        <v>305492</v>
      </c>
      <c r="H8" s="2">
        <v>283784</v>
      </c>
    </row>
    <row r="9" spans="3:8" ht="15.75" customHeight="1" x14ac:dyDescent="0.15">
      <c r="C9" s="2">
        <f t="shared" si="0"/>
        <v>7</v>
      </c>
      <c r="D9" s="2">
        <v>1159901</v>
      </c>
      <c r="E9" s="2">
        <v>579941</v>
      </c>
      <c r="F9" s="2">
        <v>294948</v>
      </c>
      <c r="G9" s="2">
        <v>308708</v>
      </c>
      <c r="H9" s="2">
        <v>296540</v>
      </c>
    </row>
    <row r="10" spans="3:8" ht="15.75" customHeight="1" x14ac:dyDescent="0.15">
      <c r="C10" s="2">
        <f t="shared" si="0"/>
        <v>8</v>
      </c>
      <c r="D10" s="2">
        <v>1181790</v>
      </c>
      <c r="E10" s="2">
        <v>577250</v>
      </c>
      <c r="F10" s="2">
        <v>289554</v>
      </c>
      <c r="G10" s="2">
        <v>303715</v>
      </c>
      <c r="H10" s="2">
        <v>295207</v>
      </c>
    </row>
    <row r="11" spans="3:8" ht="15.75" customHeight="1" x14ac:dyDescent="0.15">
      <c r="C11" s="2">
        <f t="shared" si="0"/>
        <v>9</v>
      </c>
      <c r="D11" s="2">
        <v>1152030</v>
      </c>
      <c r="E11" s="2">
        <v>600389</v>
      </c>
      <c r="F11" s="2">
        <v>294328</v>
      </c>
      <c r="G11" s="2">
        <v>286177</v>
      </c>
      <c r="H11" s="2">
        <v>272072</v>
      </c>
    </row>
    <row r="12" spans="3:8" ht="15.75" customHeight="1" x14ac:dyDescent="0.15">
      <c r="C12" s="2">
        <f t="shared" si="0"/>
        <v>10</v>
      </c>
      <c r="D12" s="2">
        <v>997523</v>
      </c>
      <c r="E12" s="2">
        <v>603904</v>
      </c>
      <c r="F12" s="2">
        <v>294409</v>
      </c>
      <c r="G12" s="2">
        <v>303841</v>
      </c>
      <c r="H12" s="2">
        <v>293137</v>
      </c>
    </row>
    <row r="13" spans="3:8" ht="15.75" customHeight="1" x14ac:dyDescent="0.15">
      <c r="C13" s="2">
        <f t="shared" si="0"/>
        <v>11</v>
      </c>
      <c r="D13" s="2">
        <v>1142719</v>
      </c>
      <c r="E13" s="2">
        <v>576856</v>
      </c>
      <c r="F13" s="2">
        <v>296490</v>
      </c>
      <c r="G13" s="2">
        <v>264542</v>
      </c>
      <c r="H13" s="2">
        <v>295636</v>
      </c>
    </row>
    <row r="14" spans="3:8" ht="15.75" customHeight="1" x14ac:dyDescent="0.15">
      <c r="C14" s="2">
        <f t="shared" si="0"/>
        <v>12</v>
      </c>
      <c r="D14" s="2">
        <v>1168285</v>
      </c>
      <c r="E14" s="2">
        <v>591675</v>
      </c>
      <c r="F14" s="2">
        <v>292110</v>
      </c>
      <c r="G14" s="2">
        <v>293596</v>
      </c>
      <c r="H14" s="2">
        <v>276278</v>
      </c>
    </row>
    <row r="15" spans="3:8" ht="15.75" customHeight="1" x14ac:dyDescent="0.15">
      <c r="C15" s="2">
        <f t="shared" si="0"/>
        <v>13</v>
      </c>
      <c r="D15" s="2">
        <v>1177236</v>
      </c>
      <c r="E15" s="2">
        <v>547984</v>
      </c>
      <c r="F15" s="2">
        <v>290665</v>
      </c>
      <c r="G15" s="2">
        <v>263303</v>
      </c>
      <c r="H15" s="2">
        <v>282643</v>
      </c>
    </row>
    <row r="16" spans="3:8" ht="15.75" customHeight="1" x14ac:dyDescent="0.15">
      <c r="C16" s="2">
        <f t="shared" si="0"/>
        <v>14</v>
      </c>
      <c r="D16" s="2">
        <v>1162011</v>
      </c>
      <c r="E16" s="2">
        <v>587260</v>
      </c>
      <c r="F16" s="2">
        <v>313052</v>
      </c>
      <c r="G16" s="2">
        <v>272494</v>
      </c>
      <c r="H16" s="2">
        <v>274282</v>
      </c>
    </row>
    <row r="17" spans="3:8" ht="15.75" customHeight="1" x14ac:dyDescent="0.15">
      <c r="C17" s="2">
        <f t="shared" si="0"/>
        <v>15</v>
      </c>
      <c r="D17" s="2">
        <v>1198014</v>
      </c>
      <c r="E17" s="2">
        <v>573158</v>
      </c>
      <c r="F17" s="2">
        <v>292662</v>
      </c>
      <c r="G17" s="2">
        <v>287617</v>
      </c>
      <c r="H17" s="2">
        <v>278622</v>
      </c>
    </row>
    <row r="18" spans="3:8" ht="15.75" customHeight="1" x14ac:dyDescent="0.15">
      <c r="C18" s="2">
        <f t="shared" si="0"/>
        <v>16</v>
      </c>
      <c r="D18" s="2">
        <v>1208197</v>
      </c>
      <c r="E18" s="2">
        <v>574555</v>
      </c>
      <c r="F18" s="2">
        <v>295326</v>
      </c>
      <c r="G18" s="2">
        <v>306389</v>
      </c>
      <c r="H18" s="2">
        <v>292774</v>
      </c>
    </row>
    <row r="19" spans="3:8" ht="15.75" customHeight="1" x14ac:dyDescent="0.15">
      <c r="C19" s="2">
        <f t="shared" si="0"/>
        <v>17</v>
      </c>
      <c r="D19" s="2">
        <v>1176908</v>
      </c>
      <c r="E19" s="2">
        <v>590322</v>
      </c>
      <c r="F19" s="2">
        <v>294019</v>
      </c>
      <c r="G19" s="2">
        <v>279008</v>
      </c>
      <c r="H19" s="2">
        <v>304864</v>
      </c>
    </row>
    <row r="20" spans="3:8" ht="15.75" customHeight="1" x14ac:dyDescent="0.15">
      <c r="C20" s="2">
        <f t="shared" si="0"/>
        <v>18</v>
      </c>
      <c r="D20" s="2">
        <v>1165021</v>
      </c>
      <c r="E20" s="2">
        <v>574560</v>
      </c>
      <c r="F20" s="2">
        <v>301473</v>
      </c>
      <c r="G20" s="2">
        <v>291643</v>
      </c>
      <c r="H20" s="2">
        <v>279971</v>
      </c>
    </row>
    <row r="21" spans="3:8" ht="15.75" customHeight="1" x14ac:dyDescent="0.15">
      <c r="C21" s="2">
        <f t="shared" si="0"/>
        <v>19</v>
      </c>
      <c r="D21" s="2">
        <v>1205228</v>
      </c>
      <c r="E21" s="2">
        <v>580046</v>
      </c>
      <c r="F21" s="2">
        <v>294111</v>
      </c>
      <c r="G21" s="2">
        <v>304067</v>
      </c>
      <c r="H21" s="2">
        <v>279959</v>
      </c>
    </row>
    <row r="22" spans="3:8" ht="15.75" customHeight="1" x14ac:dyDescent="0.15">
      <c r="C22" s="2">
        <f t="shared" si="0"/>
        <v>20</v>
      </c>
      <c r="D22" s="2">
        <v>1171626</v>
      </c>
      <c r="E22" s="2">
        <v>579419</v>
      </c>
      <c r="F22" s="2">
        <v>292764</v>
      </c>
      <c r="G22" s="2">
        <v>303948</v>
      </c>
      <c r="H22" s="2">
        <v>277861</v>
      </c>
    </row>
    <row r="23" spans="3:8" ht="15.75" customHeight="1" x14ac:dyDescent="0.15">
      <c r="C23" s="2">
        <f t="shared" si="0"/>
        <v>21</v>
      </c>
      <c r="D23" s="2">
        <v>1177794</v>
      </c>
      <c r="E23" s="2">
        <v>576566</v>
      </c>
      <c r="F23" s="2">
        <v>288883</v>
      </c>
      <c r="G23" s="2">
        <v>306878</v>
      </c>
      <c r="H23" s="2">
        <v>285760</v>
      </c>
    </row>
    <row r="24" spans="3:8" ht="15.75" customHeight="1" x14ac:dyDescent="0.15">
      <c r="C24" s="2">
        <f t="shared" si="0"/>
        <v>22</v>
      </c>
      <c r="D24" s="2">
        <v>1153567</v>
      </c>
      <c r="E24" s="2">
        <v>653494</v>
      </c>
      <c r="F24" s="2">
        <v>304630</v>
      </c>
      <c r="G24" s="2">
        <v>292827</v>
      </c>
      <c r="H24" s="2">
        <v>275046</v>
      </c>
    </row>
    <row r="25" spans="3:8" ht="15.75" customHeight="1" x14ac:dyDescent="0.15">
      <c r="C25" s="2">
        <f t="shared" si="0"/>
        <v>23</v>
      </c>
      <c r="D25" s="2">
        <v>1204157</v>
      </c>
      <c r="E25" s="2">
        <v>594637</v>
      </c>
      <c r="F25" s="2">
        <v>296495</v>
      </c>
      <c r="G25" s="2">
        <v>303545</v>
      </c>
      <c r="H25" s="2">
        <v>276917</v>
      </c>
    </row>
    <row r="26" spans="3:8" ht="15.75" customHeight="1" x14ac:dyDescent="0.15">
      <c r="C26" s="2">
        <f t="shared" si="0"/>
        <v>24</v>
      </c>
      <c r="D26" s="2">
        <v>1149921</v>
      </c>
      <c r="E26" s="2">
        <v>576751</v>
      </c>
      <c r="F26" s="2">
        <v>292057</v>
      </c>
      <c r="G26" s="2">
        <v>296043</v>
      </c>
      <c r="H26" s="2">
        <v>297709</v>
      </c>
    </row>
    <row r="27" spans="3:8" ht="15.75" customHeight="1" x14ac:dyDescent="0.15">
      <c r="C27" s="2">
        <f t="shared" si="0"/>
        <v>25</v>
      </c>
      <c r="D27" s="2">
        <v>1155714</v>
      </c>
      <c r="E27" s="2">
        <v>572086</v>
      </c>
      <c r="F27" s="2">
        <v>294385</v>
      </c>
      <c r="G27" s="2">
        <v>302660</v>
      </c>
      <c r="H27" s="2">
        <v>290986</v>
      </c>
    </row>
    <row r="28" spans="3:8" ht="15.75" customHeight="1" x14ac:dyDescent="0.15">
      <c r="C28" s="2">
        <f t="shared" si="0"/>
        <v>26</v>
      </c>
      <c r="D28" s="2">
        <v>1155953</v>
      </c>
      <c r="E28" s="2">
        <v>604800</v>
      </c>
      <c r="F28" s="2">
        <v>294309</v>
      </c>
      <c r="G28" s="2">
        <v>293073</v>
      </c>
      <c r="H28" s="2">
        <v>295052</v>
      </c>
    </row>
    <row r="29" spans="3:8" ht="15.75" customHeight="1" x14ac:dyDescent="0.15">
      <c r="C29" s="2">
        <f t="shared" si="0"/>
        <v>27</v>
      </c>
      <c r="D29" s="2">
        <v>1173948</v>
      </c>
      <c r="E29" s="2">
        <v>572869</v>
      </c>
      <c r="F29" s="2">
        <v>296033</v>
      </c>
      <c r="G29" s="2">
        <v>297238</v>
      </c>
      <c r="H29" s="2">
        <v>295650</v>
      </c>
    </row>
    <row r="30" spans="3:8" ht="15.75" customHeight="1" x14ac:dyDescent="0.15">
      <c r="C30" s="2">
        <f t="shared" si="0"/>
        <v>28</v>
      </c>
      <c r="D30" s="2">
        <v>1196910</v>
      </c>
      <c r="E30" s="2">
        <v>594057</v>
      </c>
      <c r="F30" s="2">
        <v>296881</v>
      </c>
      <c r="G30" s="2">
        <v>298602</v>
      </c>
      <c r="H30" s="2">
        <v>298023</v>
      </c>
    </row>
    <row r="31" spans="3:8" ht="15.75" customHeight="1" x14ac:dyDescent="0.15">
      <c r="C31" s="2">
        <f t="shared" si="0"/>
        <v>29</v>
      </c>
      <c r="D31" s="2">
        <v>1162979</v>
      </c>
      <c r="E31" s="2">
        <v>586880</v>
      </c>
      <c r="F31" s="2">
        <v>294561</v>
      </c>
      <c r="G31" s="2">
        <v>291728</v>
      </c>
      <c r="H31" s="2">
        <v>296438</v>
      </c>
    </row>
    <row r="32" spans="3:8" ht="15.75" customHeight="1" x14ac:dyDescent="0.15">
      <c r="C32" s="2">
        <f t="shared" si="0"/>
        <v>30</v>
      </c>
      <c r="D32" s="2">
        <v>1208079</v>
      </c>
      <c r="E32" s="2">
        <v>655588</v>
      </c>
      <c r="F32" s="2">
        <v>305270</v>
      </c>
      <c r="G32" s="2">
        <v>305633</v>
      </c>
      <c r="H32" s="2">
        <v>291112</v>
      </c>
    </row>
    <row r="33" spans="1:8" ht="15.75" customHeight="1" x14ac:dyDescent="0.15">
      <c r="C33" s="1" t="s">
        <v>15</v>
      </c>
      <c r="D33" s="2">
        <f t="shared" ref="D33:H33" si="1">AVERAGE(D3:D32)</f>
        <v>1163399.0666666667</v>
      </c>
      <c r="E33" s="2">
        <f t="shared" si="1"/>
        <v>587221.8666666667</v>
      </c>
      <c r="F33" s="2">
        <f t="shared" si="1"/>
        <v>296040.5</v>
      </c>
      <c r="G33" s="2">
        <f t="shared" si="1"/>
        <v>291970.33333333331</v>
      </c>
      <c r="H33" s="2">
        <f t="shared" si="1"/>
        <v>288352.40000000002</v>
      </c>
    </row>
    <row r="34" spans="1:8" ht="15.75" customHeight="1" x14ac:dyDescent="0.15">
      <c r="C34" s="1" t="s">
        <v>16</v>
      </c>
      <c r="D34" s="2">
        <f t="shared" ref="D34:H34" si="2">STDEV(D3:D32)</f>
        <v>38372.024602102611</v>
      </c>
      <c r="E34" s="2">
        <f t="shared" si="2"/>
        <v>21458.709344698014</v>
      </c>
      <c r="F34" s="2">
        <f t="shared" si="2"/>
        <v>5204.4297759796364</v>
      </c>
      <c r="G34" s="2">
        <f t="shared" si="2"/>
        <v>14512.381273584462</v>
      </c>
      <c r="H34" s="2">
        <f t="shared" si="2"/>
        <v>9130.2481425658734</v>
      </c>
    </row>
    <row r="36" spans="1:8" ht="15.75" customHeight="1" x14ac:dyDescent="0.15">
      <c r="A36" s="1" t="s">
        <v>7</v>
      </c>
      <c r="B36" s="1" t="s">
        <v>83</v>
      </c>
      <c r="C36" s="1" t="s">
        <v>47</v>
      </c>
    </row>
    <row r="37" spans="1:8" ht="15.75" customHeight="1" x14ac:dyDescent="0.15">
      <c r="A37" s="2">
        <f>STDEV(D4:D33)</f>
        <v>38325.249313297776</v>
      </c>
      <c r="B37" s="2">
        <f>AVERAGE(D4:D33)</f>
        <v>1163733.5355555557</v>
      </c>
      <c r="C37" s="2">
        <v>1</v>
      </c>
    </row>
    <row r="38" spans="1:8" ht="15.75" customHeight="1" x14ac:dyDescent="0.15">
      <c r="A38" s="2">
        <f>STDEV(E4:E33)</f>
        <v>21391.355388574284</v>
      </c>
      <c r="B38" s="2">
        <f>AVERAGE(E4:E33)</f>
        <v>587521.86222222226</v>
      </c>
      <c r="C38" s="2">
        <v>2</v>
      </c>
    </row>
    <row r="39" spans="1:8" ht="15.75" customHeight="1" x14ac:dyDescent="0.15">
      <c r="A39" s="2">
        <f>STDEV(F4:F33)</f>
        <v>4998.8519074124788</v>
      </c>
      <c r="B39" s="2">
        <f>AVERAGE(F4:F33)</f>
        <v>295784.75</v>
      </c>
      <c r="C39" s="2">
        <v>4</v>
      </c>
    </row>
    <row r="40" spans="1:8" ht="15.75" customHeight="1" x14ac:dyDescent="0.15">
      <c r="A40" s="2">
        <f>STDEV(G4:G33)</f>
        <v>14487.496388446012</v>
      </c>
      <c r="B40" s="2">
        <f>AVERAGE(G4:G33)</f>
        <v>292120.34444444446</v>
      </c>
      <c r="C40" s="2">
        <v>8</v>
      </c>
    </row>
    <row r="41" spans="1:8" ht="15.75" customHeight="1" x14ac:dyDescent="0.15">
      <c r="A41" s="2">
        <f>STDEV(H4:H33)</f>
        <v>9083.7629308538217</v>
      </c>
      <c r="B41" s="2">
        <f>AVERAGE(H4:H33)</f>
        <v>288189.91333333333</v>
      </c>
      <c r="C41" s="2">
        <v>12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3:H41"/>
  <sheetViews>
    <sheetView workbookViewId="0"/>
  </sheetViews>
  <sheetFormatPr baseColWidth="10" defaultColWidth="12.6640625" defaultRowHeight="15.75" customHeight="1" x14ac:dyDescent="0.15"/>
  <cols>
    <col min="1" max="1" width="17.33203125" customWidth="1"/>
    <col min="2" max="2" width="15.6640625" customWidth="1"/>
    <col min="3" max="3" width="14.6640625" customWidth="1"/>
    <col min="4" max="4" width="25.83203125" customWidth="1"/>
    <col min="5" max="5" width="30" customWidth="1"/>
    <col min="6" max="6" width="25.33203125" customWidth="1"/>
    <col min="7" max="7" width="25.6640625" customWidth="1"/>
    <col min="8" max="8" width="26.33203125" customWidth="1"/>
  </cols>
  <sheetData>
    <row r="3" spans="3:8" ht="15.75" customHeight="1" x14ac:dyDescent="0.15">
      <c r="C3" s="1"/>
      <c r="D3" s="1" t="s">
        <v>94</v>
      </c>
      <c r="E3" s="1" t="s">
        <v>95</v>
      </c>
      <c r="F3" s="1" t="s">
        <v>96</v>
      </c>
      <c r="G3" s="1" t="s">
        <v>97</v>
      </c>
      <c r="H3" s="1" t="s">
        <v>98</v>
      </c>
    </row>
    <row r="4" spans="3:8" ht="15.75" customHeight="1" x14ac:dyDescent="0.15">
      <c r="C4" s="2">
        <v>1</v>
      </c>
      <c r="D4" s="2">
        <v>3218784</v>
      </c>
      <c r="E4" s="2">
        <v>1511367</v>
      </c>
      <c r="F4" s="2">
        <v>736729</v>
      </c>
      <c r="G4" s="2">
        <v>758708</v>
      </c>
      <c r="H4" s="2">
        <v>702805</v>
      </c>
    </row>
    <row r="5" spans="3:8" ht="15.75" customHeight="1" x14ac:dyDescent="0.15">
      <c r="C5" s="2">
        <f t="shared" ref="C5:C33" si="0">C4+1</f>
        <v>2</v>
      </c>
      <c r="D5" s="2">
        <v>3266052</v>
      </c>
      <c r="E5" s="2">
        <v>1528501</v>
      </c>
      <c r="F5" s="2">
        <v>740688</v>
      </c>
      <c r="G5" s="2">
        <v>743778</v>
      </c>
      <c r="H5" s="2">
        <v>653232</v>
      </c>
    </row>
    <row r="6" spans="3:8" ht="15.75" customHeight="1" x14ac:dyDescent="0.15">
      <c r="C6" s="2">
        <f t="shared" si="0"/>
        <v>3</v>
      </c>
      <c r="D6" s="2">
        <v>3263172</v>
      </c>
      <c r="E6" s="2">
        <v>1478711</v>
      </c>
      <c r="F6" s="2">
        <v>734937</v>
      </c>
      <c r="G6" s="2">
        <v>729630</v>
      </c>
      <c r="H6" s="2">
        <v>740027</v>
      </c>
    </row>
    <row r="7" spans="3:8" ht="15.75" customHeight="1" x14ac:dyDescent="0.15">
      <c r="C7" s="2">
        <f t="shared" si="0"/>
        <v>4</v>
      </c>
      <c r="D7" s="2">
        <v>2956223</v>
      </c>
      <c r="E7" s="2">
        <v>1507013</v>
      </c>
      <c r="F7" s="2">
        <v>729155</v>
      </c>
      <c r="G7" s="2">
        <v>747045</v>
      </c>
      <c r="H7" s="2">
        <v>741130</v>
      </c>
    </row>
    <row r="8" spans="3:8" ht="15.75" customHeight="1" x14ac:dyDescent="0.15">
      <c r="C8" s="2">
        <f t="shared" si="0"/>
        <v>5</v>
      </c>
      <c r="D8" s="2">
        <v>3239449</v>
      </c>
      <c r="E8" s="2">
        <v>1544510</v>
      </c>
      <c r="F8" s="2">
        <v>737406</v>
      </c>
      <c r="G8" s="2">
        <v>760506</v>
      </c>
      <c r="H8" s="2">
        <v>697194</v>
      </c>
    </row>
    <row r="9" spans="3:8" ht="15.75" customHeight="1" x14ac:dyDescent="0.15">
      <c r="C9" s="2">
        <f t="shared" si="0"/>
        <v>6</v>
      </c>
      <c r="D9" s="2">
        <v>3209364</v>
      </c>
      <c r="E9" s="2">
        <v>1526450</v>
      </c>
      <c r="F9" s="2">
        <v>731389</v>
      </c>
      <c r="G9" s="2">
        <v>731776</v>
      </c>
      <c r="H9" s="2">
        <v>693481</v>
      </c>
    </row>
    <row r="10" spans="3:8" ht="15.75" customHeight="1" x14ac:dyDescent="0.15">
      <c r="C10" s="2">
        <f t="shared" si="0"/>
        <v>7</v>
      </c>
      <c r="D10" s="2">
        <v>2951056</v>
      </c>
      <c r="E10" s="2">
        <v>1504570</v>
      </c>
      <c r="F10" s="2">
        <v>727864</v>
      </c>
      <c r="G10" s="2">
        <v>741961</v>
      </c>
      <c r="H10" s="2">
        <v>685147</v>
      </c>
    </row>
    <row r="11" spans="3:8" ht="15.75" customHeight="1" x14ac:dyDescent="0.15">
      <c r="C11" s="2">
        <f t="shared" si="0"/>
        <v>8</v>
      </c>
      <c r="D11" s="2">
        <v>2711212</v>
      </c>
      <c r="E11" s="2">
        <v>1527043</v>
      </c>
      <c r="F11" s="2">
        <v>735395</v>
      </c>
      <c r="G11" s="2">
        <v>730907</v>
      </c>
      <c r="H11" s="2">
        <v>700693</v>
      </c>
    </row>
    <row r="12" spans="3:8" ht="15.75" customHeight="1" x14ac:dyDescent="0.15">
      <c r="C12" s="2">
        <f t="shared" si="0"/>
        <v>9</v>
      </c>
      <c r="D12" s="2">
        <v>2576628</v>
      </c>
      <c r="E12" s="2">
        <v>1493730</v>
      </c>
      <c r="F12" s="2">
        <v>731124</v>
      </c>
      <c r="G12" s="2">
        <v>785535</v>
      </c>
      <c r="H12" s="2">
        <v>731216</v>
      </c>
    </row>
    <row r="13" spans="3:8" ht="15.75" customHeight="1" x14ac:dyDescent="0.15">
      <c r="C13" s="2">
        <f t="shared" si="0"/>
        <v>10</v>
      </c>
      <c r="D13" s="2">
        <v>2749355</v>
      </c>
      <c r="E13" s="2">
        <v>1520754</v>
      </c>
      <c r="F13" s="2">
        <v>725298</v>
      </c>
      <c r="G13" s="2">
        <v>749104</v>
      </c>
      <c r="H13" s="2">
        <v>683887</v>
      </c>
    </row>
    <row r="14" spans="3:8" ht="15.75" customHeight="1" x14ac:dyDescent="0.15">
      <c r="C14" s="2">
        <f t="shared" si="0"/>
        <v>11</v>
      </c>
      <c r="D14" s="2">
        <v>3319989</v>
      </c>
      <c r="E14" s="2">
        <v>1490561</v>
      </c>
      <c r="F14" s="2">
        <v>737277</v>
      </c>
      <c r="G14" s="2">
        <v>704494</v>
      </c>
      <c r="H14" s="2">
        <v>707937</v>
      </c>
    </row>
    <row r="15" spans="3:8" ht="15.75" customHeight="1" x14ac:dyDescent="0.15">
      <c r="C15" s="2">
        <f t="shared" si="0"/>
        <v>12</v>
      </c>
      <c r="D15" s="2">
        <v>3267107</v>
      </c>
      <c r="E15" s="2">
        <v>1497102</v>
      </c>
      <c r="F15" s="2">
        <v>732153</v>
      </c>
      <c r="G15" s="2">
        <v>731459</v>
      </c>
      <c r="H15" s="2">
        <v>700488</v>
      </c>
    </row>
    <row r="16" spans="3:8" ht="15.75" customHeight="1" x14ac:dyDescent="0.15">
      <c r="C16" s="2">
        <f t="shared" si="0"/>
        <v>13</v>
      </c>
      <c r="D16" s="2">
        <v>3232332</v>
      </c>
      <c r="E16" s="2">
        <v>1464755</v>
      </c>
      <c r="F16" s="2">
        <v>752004</v>
      </c>
      <c r="G16" s="2">
        <v>756330</v>
      </c>
      <c r="H16" s="2">
        <v>726782</v>
      </c>
    </row>
    <row r="17" spans="3:8" ht="15.75" customHeight="1" x14ac:dyDescent="0.15">
      <c r="C17" s="2">
        <f t="shared" si="0"/>
        <v>14</v>
      </c>
      <c r="D17" s="2">
        <v>3276165</v>
      </c>
      <c r="E17" s="2">
        <v>1526784</v>
      </c>
      <c r="F17" s="2">
        <v>728588</v>
      </c>
      <c r="G17" s="2">
        <v>687151</v>
      </c>
      <c r="H17" s="2">
        <v>623013</v>
      </c>
    </row>
    <row r="18" spans="3:8" ht="15.75" customHeight="1" x14ac:dyDescent="0.15">
      <c r="C18" s="2">
        <f t="shared" si="0"/>
        <v>15</v>
      </c>
      <c r="D18" s="2">
        <v>3346837</v>
      </c>
      <c r="E18" s="2">
        <v>1534303</v>
      </c>
      <c r="F18" s="2">
        <v>766091</v>
      </c>
      <c r="G18" s="2">
        <v>727980</v>
      </c>
      <c r="H18" s="2">
        <v>646769</v>
      </c>
    </row>
    <row r="19" spans="3:8" ht="15.75" customHeight="1" x14ac:dyDescent="0.15">
      <c r="C19" s="2">
        <f t="shared" si="0"/>
        <v>16</v>
      </c>
      <c r="D19" s="2">
        <v>3349695</v>
      </c>
      <c r="E19" s="2">
        <v>1522899</v>
      </c>
      <c r="F19" s="2">
        <v>741575</v>
      </c>
      <c r="G19" s="2">
        <v>750225</v>
      </c>
      <c r="H19" s="2">
        <v>700283</v>
      </c>
    </row>
    <row r="20" spans="3:8" ht="15.75" customHeight="1" x14ac:dyDescent="0.15">
      <c r="C20" s="2">
        <f t="shared" si="0"/>
        <v>17</v>
      </c>
      <c r="D20" s="2">
        <v>3403004</v>
      </c>
      <c r="E20" s="2">
        <v>1489859</v>
      </c>
      <c r="F20" s="2">
        <v>727023</v>
      </c>
      <c r="G20" s="2">
        <v>708784</v>
      </c>
      <c r="H20" s="2">
        <v>737575</v>
      </c>
    </row>
    <row r="21" spans="3:8" ht="15.75" customHeight="1" x14ac:dyDescent="0.15">
      <c r="C21" s="2">
        <f t="shared" si="0"/>
        <v>18</v>
      </c>
      <c r="D21" s="2">
        <v>3282355</v>
      </c>
      <c r="E21" s="2">
        <v>1493634</v>
      </c>
      <c r="F21" s="2">
        <v>741365</v>
      </c>
      <c r="G21" s="2">
        <v>687634</v>
      </c>
      <c r="H21" s="2">
        <v>740447</v>
      </c>
    </row>
    <row r="22" spans="3:8" ht="15.75" customHeight="1" x14ac:dyDescent="0.15">
      <c r="C22" s="2">
        <f t="shared" si="0"/>
        <v>19</v>
      </c>
      <c r="D22" s="2">
        <v>3232493</v>
      </c>
      <c r="E22" s="2">
        <v>1547866</v>
      </c>
      <c r="F22" s="2">
        <v>737842</v>
      </c>
      <c r="G22" s="2">
        <v>760198</v>
      </c>
      <c r="H22" s="2">
        <v>651002</v>
      </c>
    </row>
    <row r="23" spans="3:8" ht="15.75" customHeight="1" x14ac:dyDescent="0.15">
      <c r="C23" s="2">
        <f t="shared" si="0"/>
        <v>20</v>
      </c>
      <c r="D23" s="2">
        <v>3271224</v>
      </c>
      <c r="E23" s="2">
        <v>1628487</v>
      </c>
      <c r="F23" s="2">
        <v>736840</v>
      </c>
      <c r="G23" s="2">
        <v>736108</v>
      </c>
      <c r="H23" s="2">
        <v>736318</v>
      </c>
    </row>
    <row r="24" spans="3:8" ht="15.75" customHeight="1" x14ac:dyDescent="0.15">
      <c r="C24" s="2">
        <f t="shared" si="0"/>
        <v>21</v>
      </c>
      <c r="D24" s="2">
        <v>3237001</v>
      </c>
      <c r="E24" s="2">
        <v>1589743</v>
      </c>
      <c r="F24" s="2">
        <v>757693</v>
      </c>
      <c r="G24" s="2">
        <v>731847</v>
      </c>
      <c r="H24" s="2">
        <v>733207</v>
      </c>
    </row>
    <row r="25" spans="3:8" ht="15.75" customHeight="1" x14ac:dyDescent="0.15">
      <c r="C25" s="2">
        <f t="shared" si="0"/>
        <v>22</v>
      </c>
      <c r="D25" s="2">
        <v>3265240</v>
      </c>
      <c r="E25" s="2">
        <v>1655677</v>
      </c>
      <c r="F25" s="2">
        <v>785217</v>
      </c>
      <c r="G25" s="2">
        <v>731298</v>
      </c>
      <c r="H25" s="2">
        <v>735790</v>
      </c>
    </row>
    <row r="26" spans="3:8" ht="15.75" customHeight="1" x14ac:dyDescent="0.15">
      <c r="C26" s="2">
        <f t="shared" si="0"/>
        <v>23</v>
      </c>
      <c r="D26" s="2">
        <v>3232527</v>
      </c>
      <c r="E26" s="2">
        <v>1546849</v>
      </c>
      <c r="F26" s="2">
        <v>780199</v>
      </c>
      <c r="G26" s="2">
        <v>740924</v>
      </c>
      <c r="H26" s="2">
        <v>731207</v>
      </c>
    </row>
    <row r="27" spans="3:8" ht="15.75" customHeight="1" x14ac:dyDescent="0.15">
      <c r="C27" s="2">
        <f t="shared" si="0"/>
        <v>24</v>
      </c>
      <c r="D27" s="2">
        <v>3323731</v>
      </c>
      <c r="E27" s="2">
        <v>1495227</v>
      </c>
      <c r="F27" s="2">
        <v>744651</v>
      </c>
      <c r="G27" s="2">
        <v>728599</v>
      </c>
      <c r="H27" s="2">
        <v>746277</v>
      </c>
    </row>
    <row r="28" spans="3:8" ht="15.75" customHeight="1" x14ac:dyDescent="0.15">
      <c r="C28" s="2">
        <f t="shared" si="0"/>
        <v>25</v>
      </c>
      <c r="D28" s="2">
        <v>3378028</v>
      </c>
      <c r="E28" s="2">
        <v>1610196</v>
      </c>
      <c r="F28" s="2">
        <v>739046</v>
      </c>
      <c r="G28" s="2">
        <v>698060</v>
      </c>
      <c r="H28" s="2">
        <v>726870</v>
      </c>
    </row>
    <row r="29" spans="3:8" ht="15.75" customHeight="1" x14ac:dyDescent="0.15">
      <c r="C29" s="2">
        <f t="shared" si="0"/>
        <v>26</v>
      </c>
      <c r="D29" s="2">
        <v>3469532</v>
      </c>
      <c r="E29" s="2">
        <v>1496313</v>
      </c>
      <c r="F29" s="2">
        <v>795703</v>
      </c>
      <c r="G29" s="2">
        <v>696671</v>
      </c>
      <c r="H29" s="2">
        <v>728954</v>
      </c>
    </row>
    <row r="30" spans="3:8" ht="15.75" customHeight="1" x14ac:dyDescent="0.15">
      <c r="C30" s="2">
        <f t="shared" si="0"/>
        <v>27</v>
      </c>
      <c r="D30" s="2">
        <v>3292694</v>
      </c>
      <c r="E30" s="2">
        <v>1514757</v>
      </c>
      <c r="F30" s="2">
        <v>760020</v>
      </c>
      <c r="G30" s="2">
        <v>693713</v>
      </c>
      <c r="H30" s="2">
        <v>747441</v>
      </c>
    </row>
    <row r="31" spans="3:8" ht="15.75" customHeight="1" x14ac:dyDescent="0.15">
      <c r="C31" s="2">
        <f t="shared" si="0"/>
        <v>28</v>
      </c>
      <c r="D31" s="2">
        <v>3302761</v>
      </c>
      <c r="E31" s="2">
        <v>1521763</v>
      </c>
      <c r="F31" s="2">
        <v>727555</v>
      </c>
      <c r="G31" s="2">
        <v>698098</v>
      </c>
      <c r="H31" s="2">
        <v>731837</v>
      </c>
    </row>
    <row r="32" spans="3:8" ht="15.75" customHeight="1" x14ac:dyDescent="0.15">
      <c r="C32" s="2">
        <f t="shared" si="0"/>
        <v>29</v>
      </c>
      <c r="D32" s="2">
        <v>3258464</v>
      </c>
      <c r="E32" s="2">
        <v>1499600</v>
      </c>
      <c r="F32" s="2">
        <v>731911</v>
      </c>
      <c r="G32" s="2">
        <v>692367</v>
      </c>
      <c r="H32" s="2">
        <v>740443</v>
      </c>
    </row>
    <row r="33" spans="1:8" ht="15.75" customHeight="1" x14ac:dyDescent="0.15">
      <c r="C33" s="2">
        <f t="shared" si="0"/>
        <v>30</v>
      </c>
      <c r="D33" s="2">
        <v>3293995</v>
      </c>
      <c r="E33" s="2">
        <v>1499656</v>
      </c>
      <c r="F33" s="2">
        <v>737541</v>
      </c>
      <c r="G33" s="2">
        <v>752930</v>
      </c>
      <c r="H33" s="2">
        <v>735033</v>
      </c>
    </row>
    <row r="34" spans="1:8" ht="15.75" customHeight="1" x14ac:dyDescent="0.15">
      <c r="C34" s="1" t="s">
        <v>15</v>
      </c>
      <c r="D34" s="2">
        <f t="shared" ref="D34:H34" si="1">AVERAGE(D4:D33)</f>
        <v>3205882.3</v>
      </c>
      <c r="E34" s="2">
        <f t="shared" si="1"/>
        <v>1525622.6666666667</v>
      </c>
      <c r="F34" s="2">
        <f t="shared" si="1"/>
        <v>743009.3</v>
      </c>
      <c r="G34" s="2">
        <f t="shared" si="1"/>
        <v>729794</v>
      </c>
      <c r="H34" s="2">
        <f t="shared" si="1"/>
        <v>711882.83333333337</v>
      </c>
    </row>
    <row r="35" spans="1:8" ht="15.75" customHeight="1" x14ac:dyDescent="0.15">
      <c r="C35" s="1" t="s">
        <v>16</v>
      </c>
      <c r="D35" s="2">
        <f t="shared" ref="D35:H35" si="2">STDEV(D4:D33)</f>
        <v>207021.37563432328</v>
      </c>
      <c r="E35" s="2">
        <f t="shared" si="2"/>
        <v>43828.831699703333</v>
      </c>
      <c r="F35" s="2">
        <f t="shared" si="2"/>
        <v>17969.892690850709</v>
      </c>
      <c r="G35" s="2">
        <f t="shared" si="2"/>
        <v>25699.437087622944</v>
      </c>
      <c r="H35" s="2">
        <f t="shared" si="2"/>
        <v>33349.655773525512</v>
      </c>
    </row>
    <row r="36" spans="1:8" ht="15.75" customHeight="1" x14ac:dyDescent="0.15">
      <c r="A36" s="1" t="s">
        <v>7</v>
      </c>
      <c r="B36" s="1" t="s">
        <v>83</v>
      </c>
      <c r="C36" s="1" t="s">
        <v>47</v>
      </c>
    </row>
    <row r="37" spans="1:8" ht="15.75" customHeight="1" x14ac:dyDescent="0.15">
      <c r="A37" s="2">
        <f>STDEV(D4:D33)</f>
        <v>207021.37563432328</v>
      </c>
      <c r="B37" s="2">
        <f>AVERAGE(D4:D33)</f>
        <v>3205882.3</v>
      </c>
      <c r="C37" s="2">
        <v>1</v>
      </c>
    </row>
    <row r="38" spans="1:8" ht="15.75" customHeight="1" x14ac:dyDescent="0.15">
      <c r="A38" s="2">
        <f>STDEV(E4:E33)</f>
        <v>43828.831699703333</v>
      </c>
      <c r="B38" s="2">
        <f>AVERAGE(E4:E33)</f>
        <v>1525622.6666666667</v>
      </c>
      <c r="C38" s="2">
        <v>2</v>
      </c>
    </row>
    <row r="39" spans="1:8" ht="15.75" customHeight="1" x14ac:dyDescent="0.15">
      <c r="A39" s="2">
        <f>STDEV(F4:F33)</f>
        <v>17969.892690850709</v>
      </c>
      <c r="B39" s="2">
        <f>AVERAGE(F4:F33)</f>
        <v>743009.3</v>
      </c>
      <c r="C39" s="2">
        <v>4</v>
      </c>
    </row>
    <row r="40" spans="1:8" ht="15.75" customHeight="1" x14ac:dyDescent="0.15">
      <c r="A40" s="2">
        <f>STDEV(G4:G33)</f>
        <v>25699.437087622944</v>
      </c>
      <c r="B40" s="2">
        <f>AVERAGE(G4:G33)</f>
        <v>729794</v>
      </c>
      <c r="C40" s="2">
        <v>8</v>
      </c>
    </row>
    <row r="41" spans="1:8" ht="15.75" customHeight="1" x14ac:dyDescent="0.15">
      <c r="A41" s="2">
        <f>STDEV(H4:H33)</f>
        <v>33349.655773525512</v>
      </c>
      <c r="B41" s="2">
        <f>AVERAGE(H4:H33)</f>
        <v>711882.83333333337</v>
      </c>
      <c r="C41" s="2">
        <v>12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3:I41"/>
  <sheetViews>
    <sheetView workbookViewId="0"/>
  </sheetViews>
  <sheetFormatPr baseColWidth="10" defaultColWidth="12.6640625" defaultRowHeight="15.75" customHeight="1" x14ac:dyDescent="0.15"/>
  <cols>
    <col min="1" max="1" width="18.1640625" customWidth="1"/>
    <col min="2" max="2" width="15.6640625" customWidth="1"/>
    <col min="5" max="5" width="26" customWidth="1"/>
    <col min="6" max="6" width="27.1640625" customWidth="1"/>
    <col min="7" max="7" width="26.5" customWidth="1"/>
    <col min="8" max="8" width="27.33203125" customWidth="1"/>
    <col min="9" max="9" width="29.5" customWidth="1"/>
  </cols>
  <sheetData>
    <row r="3" spans="4:9" ht="15.75" customHeight="1" x14ac:dyDescent="0.15">
      <c r="D3" s="1"/>
      <c r="E3" s="1" t="s">
        <v>99</v>
      </c>
      <c r="F3" s="1" t="s">
        <v>100</v>
      </c>
      <c r="G3" s="1" t="s">
        <v>65</v>
      </c>
      <c r="H3" s="1" t="s">
        <v>101</v>
      </c>
      <c r="I3" s="1" t="s">
        <v>102</v>
      </c>
    </row>
    <row r="4" spans="4:9" ht="15.75" customHeight="1" x14ac:dyDescent="0.15">
      <c r="D4" s="2">
        <v>1</v>
      </c>
      <c r="E4" s="2">
        <v>7211110</v>
      </c>
      <c r="F4" s="2">
        <v>3752116</v>
      </c>
      <c r="G4" s="2">
        <v>1690680</v>
      </c>
      <c r="H4" s="2">
        <v>1429671</v>
      </c>
      <c r="I4" s="2">
        <v>1388342</v>
      </c>
    </row>
    <row r="5" spans="4:9" ht="15.75" customHeight="1" x14ac:dyDescent="0.15">
      <c r="D5" s="2">
        <f t="shared" ref="D5:D33" si="0">D4+1</f>
        <v>2</v>
      </c>
      <c r="E5" s="2">
        <v>7543006</v>
      </c>
      <c r="F5" s="2">
        <v>3555380</v>
      </c>
      <c r="G5" s="2">
        <v>1579222</v>
      </c>
      <c r="H5" s="2">
        <v>1581889</v>
      </c>
      <c r="I5" s="2">
        <v>1371032</v>
      </c>
    </row>
    <row r="6" spans="4:9" ht="15.75" customHeight="1" x14ac:dyDescent="0.15">
      <c r="D6" s="2">
        <f t="shared" si="0"/>
        <v>3</v>
      </c>
      <c r="E6" s="2">
        <v>6635337</v>
      </c>
      <c r="F6" s="2">
        <v>3701942</v>
      </c>
      <c r="G6" s="2">
        <v>1563733</v>
      </c>
      <c r="H6" s="2">
        <v>1542563</v>
      </c>
      <c r="I6" s="2">
        <v>1566861</v>
      </c>
    </row>
    <row r="7" spans="4:9" ht="15.75" customHeight="1" x14ac:dyDescent="0.15">
      <c r="D7" s="2">
        <f t="shared" si="0"/>
        <v>4</v>
      </c>
      <c r="E7" s="2">
        <v>6821502</v>
      </c>
      <c r="F7" s="2">
        <v>3680734</v>
      </c>
      <c r="G7" s="2">
        <v>1731852</v>
      </c>
      <c r="H7" s="2">
        <v>1503336</v>
      </c>
      <c r="I7" s="2">
        <v>1414330</v>
      </c>
    </row>
    <row r="8" spans="4:9" ht="15.75" customHeight="1" x14ac:dyDescent="0.15">
      <c r="D8" s="2">
        <f t="shared" si="0"/>
        <v>5</v>
      </c>
      <c r="E8" s="2">
        <v>7365333</v>
      </c>
      <c r="F8" s="2">
        <v>3449862</v>
      </c>
      <c r="G8" s="2">
        <v>1743034</v>
      </c>
      <c r="H8" s="2">
        <v>1531340</v>
      </c>
      <c r="I8" s="2">
        <v>1489220</v>
      </c>
    </row>
    <row r="9" spans="4:9" ht="15.75" customHeight="1" x14ac:dyDescent="0.15">
      <c r="D9" s="2">
        <f t="shared" si="0"/>
        <v>6</v>
      </c>
      <c r="E9" s="2">
        <v>6200015</v>
      </c>
      <c r="F9" s="2">
        <v>3568080</v>
      </c>
      <c r="G9" s="2">
        <v>1656570</v>
      </c>
      <c r="H9" s="2">
        <v>1474271</v>
      </c>
      <c r="I9" s="2">
        <v>1439703</v>
      </c>
    </row>
    <row r="10" spans="4:9" ht="15.75" customHeight="1" x14ac:dyDescent="0.15">
      <c r="D10" s="2">
        <f t="shared" si="0"/>
        <v>7</v>
      </c>
      <c r="E10" s="2">
        <v>5673209</v>
      </c>
      <c r="F10" s="2">
        <v>3370130</v>
      </c>
      <c r="G10" s="2">
        <v>1612909</v>
      </c>
      <c r="H10" s="2">
        <v>1525274</v>
      </c>
      <c r="I10" s="2">
        <v>1412988</v>
      </c>
    </row>
    <row r="11" spans="4:9" ht="15.75" customHeight="1" x14ac:dyDescent="0.15">
      <c r="D11" s="2">
        <f t="shared" si="0"/>
        <v>8</v>
      </c>
      <c r="E11" s="2">
        <v>7537934</v>
      </c>
      <c r="F11" s="2">
        <v>3484052</v>
      </c>
      <c r="G11" s="2">
        <v>1608380</v>
      </c>
      <c r="H11" s="2">
        <v>1532465</v>
      </c>
      <c r="I11" s="2">
        <v>1498736</v>
      </c>
    </row>
    <row r="12" spans="4:9" ht="15.75" customHeight="1" x14ac:dyDescent="0.15">
      <c r="D12" s="2">
        <f t="shared" si="0"/>
        <v>9</v>
      </c>
      <c r="E12" s="2">
        <v>6069126</v>
      </c>
      <c r="F12" s="2">
        <v>3483581</v>
      </c>
      <c r="G12" s="2">
        <v>1521446</v>
      </c>
      <c r="H12" s="2">
        <v>1633331</v>
      </c>
      <c r="I12" s="2">
        <v>1485073</v>
      </c>
    </row>
    <row r="13" spans="4:9" ht="15.75" customHeight="1" x14ac:dyDescent="0.15">
      <c r="D13" s="2">
        <f t="shared" si="0"/>
        <v>10</v>
      </c>
      <c r="E13" s="2">
        <v>7680753</v>
      </c>
      <c r="F13" s="2">
        <v>3717416</v>
      </c>
      <c r="G13" s="2">
        <v>1612399</v>
      </c>
      <c r="H13" s="2">
        <v>1627466</v>
      </c>
      <c r="I13" s="2">
        <v>1462864</v>
      </c>
    </row>
    <row r="14" spans="4:9" ht="15.75" customHeight="1" x14ac:dyDescent="0.15">
      <c r="D14" s="2">
        <f t="shared" si="0"/>
        <v>11</v>
      </c>
      <c r="E14" s="2">
        <v>6498664</v>
      </c>
      <c r="F14" s="2">
        <v>2981383</v>
      </c>
      <c r="G14" s="2">
        <v>1495685</v>
      </c>
      <c r="H14" s="2">
        <v>1607428</v>
      </c>
      <c r="I14" s="2">
        <v>1509263</v>
      </c>
    </row>
    <row r="15" spans="4:9" ht="15.75" customHeight="1" x14ac:dyDescent="0.15">
      <c r="D15" s="2">
        <f t="shared" si="0"/>
        <v>12</v>
      </c>
      <c r="E15" s="2">
        <v>7655807</v>
      </c>
      <c r="F15" s="2">
        <v>3434341</v>
      </c>
      <c r="G15" s="2">
        <v>1518709</v>
      </c>
      <c r="H15" s="2">
        <v>1565385</v>
      </c>
      <c r="I15" s="2">
        <v>1490128</v>
      </c>
    </row>
    <row r="16" spans="4:9" ht="15.75" customHeight="1" x14ac:dyDescent="0.15">
      <c r="D16" s="2">
        <f t="shared" si="0"/>
        <v>13</v>
      </c>
      <c r="E16" s="2">
        <v>7617574</v>
      </c>
      <c r="F16" s="2">
        <v>3474680</v>
      </c>
      <c r="G16" s="2">
        <v>1599333</v>
      </c>
      <c r="H16" s="2">
        <v>1584044</v>
      </c>
      <c r="I16" s="2">
        <v>1493412</v>
      </c>
    </row>
    <row r="17" spans="4:9" ht="15.75" customHeight="1" x14ac:dyDescent="0.15">
      <c r="D17" s="2">
        <f t="shared" si="0"/>
        <v>14</v>
      </c>
      <c r="E17" s="2">
        <v>7071910</v>
      </c>
      <c r="F17" s="2">
        <v>3657354</v>
      </c>
      <c r="G17" s="2">
        <v>1594601</v>
      </c>
      <c r="H17" s="2">
        <v>1553884</v>
      </c>
      <c r="I17" s="2">
        <v>1489247</v>
      </c>
    </row>
    <row r="18" spans="4:9" ht="15.75" customHeight="1" x14ac:dyDescent="0.15">
      <c r="D18" s="2">
        <f t="shared" si="0"/>
        <v>15</v>
      </c>
      <c r="E18" s="2">
        <v>7247413</v>
      </c>
      <c r="F18" s="2">
        <v>3469868</v>
      </c>
      <c r="G18" s="2">
        <v>1645367</v>
      </c>
      <c r="H18" s="2">
        <v>1516118</v>
      </c>
      <c r="I18" s="2">
        <v>1484874</v>
      </c>
    </row>
    <row r="19" spans="4:9" ht="15.75" customHeight="1" x14ac:dyDescent="0.15">
      <c r="D19" s="2">
        <f t="shared" si="0"/>
        <v>16</v>
      </c>
      <c r="E19" s="2">
        <v>6120283</v>
      </c>
      <c r="F19" s="2">
        <v>3338485</v>
      </c>
      <c r="G19" s="2">
        <v>1595368</v>
      </c>
      <c r="H19" s="2">
        <v>1516121</v>
      </c>
      <c r="I19" s="2">
        <v>1535166</v>
      </c>
    </row>
    <row r="20" spans="4:9" ht="15.75" customHeight="1" x14ac:dyDescent="0.15">
      <c r="D20" s="2">
        <f t="shared" si="0"/>
        <v>17</v>
      </c>
      <c r="E20" s="2">
        <v>5740281</v>
      </c>
      <c r="F20" s="2">
        <v>3478830</v>
      </c>
      <c r="G20" s="2">
        <v>1505028</v>
      </c>
      <c r="H20" s="2">
        <v>1536199</v>
      </c>
      <c r="I20" s="2">
        <v>1472321</v>
      </c>
    </row>
    <row r="21" spans="4:9" ht="15.75" customHeight="1" x14ac:dyDescent="0.15">
      <c r="D21" s="2">
        <f t="shared" si="0"/>
        <v>18</v>
      </c>
      <c r="E21" s="2">
        <v>5945279</v>
      </c>
      <c r="F21" s="2">
        <v>3628153</v>
      </c>
      <c r="G21" s="2">
        <v>1603660</v>
      </c>
      <c r="H21" s="2">
        <v>1650329</v>
      </c>
      <c r="I21" s="2">
        <v>1483142</v>
      </c>
    </row>
    <row r="22" spans="4:9" ht="15.75" customHeight="1" x14ac:dyDescent="0.15">
      <c r="D22" s="2">
        <f t="shared" si="0"/>
        <v>19</v>
      </c>
      <c r="E22" s="2">
        <v>7643345</v>
      </c>
      <c r="F22" s="2">
        <v>3665183</v>
      </c>
      <c r="G22" s="2">
        <v>1758945</v>
      </c>
      <c r="H22" s="2">
        <v>1592469</v>
      </c>
      <c r="I22" s="2">
        <v>1456260</v>
      </c>
    </row>
    <row r="23" spans="4:9" ht="15.75" customHeight="1" x14ac:dyDescent="0.15">
      <c r="D23" s="2">
        <f t="shared" si="0"/>
        <v>20</v>
      </c>
      <c r="E23" s="2">
        <v>7527246</v>
      </c>
      <c r="F23" s="2">
        <v>3380666</v>
      </c>
      <c r="G23" s="2">
        <v>1809163</v>
      </c>
      <c r="H23" s="2">
        <v>1521582</v>
      </c>
      <c r="I23" s="2">
        <v>1628994</v>
      </c>
    </row>
    <row r="24" spans="4:9" ht="15.75" customHeight="1" x14ac:dyDescent="0.15">
      <c r="D24" s="2">
        <f t="shared" si="0"/>
        <v>21</v>
      </c>
      <c r="E24" s="2">
        <v>7466861</v>
      </c>
      <c r="F24" s="2">
        <v>3410812</v>
      </c>
      <c r="G24" s="2">
        <v>1672294</v>
      </c>
      <c r="H24" s="2">
        <v>1561673</v>
      </c>
      <c r="I24" s="2">
        <v>1441541</v>
      </c>
    </row>
    <row r="25" spans="4:9" ht="15.75" customHeight="1" x14ac:dyDescent="0.15">
      <c r="D25" s="2">
        <f t="shared" si="0"/>
        <v>22</v>
      </c>
      <c r="E25" s="2">
        <v>7233645</v>
      </c>
      <c r="F25" s="2">
        <v>3418972</v>
      </c>
      <c r="G25" s="2">
        <v>1539494</v>
      </c>
      <c r="H25" s="2">
        <v>1439026</v>
      </c>
      <c r="I25" s="2">
        <v>1523726</v>
      </c>
    </row>
    <row r="26" spans="4:9" ht="15.75" customHeight="1" x14ac:dyDescent="0.15">
      <c r="D26" s="2">
        <f t="shared" si="0"/>
        <v>23</v>
      </c>
      <c r="E26" s="2">
        <v>7222170</v>
      </c>
      <c r="F26" s="2">
        <v>3194651</v>
      </c>
      <c r="G26" s="2">
        <v>1651682</v>
      </c>
      <c r="H26" s="2">
        <v>1560212</v>
      </c>
      <c r="I26" s="2">
        <v>1583479</v>
      </c>
    </row>
    <row r="27" spans="4:9" ht="15.75" customHeight="1" x14ac:dyDescent="0.15">
      <c r="D27" s="2">
        <f t="shared" si="0"/>
        <v>24</v>
      </c>
      <c r="E27" s="2">
        <v>7193889</v>
      </c>
      <c r="F27" s="2">
        <v>3362082</v>
      </c>
      <c r="G27" s="2">
        <v>1592042</v>
      </c>
      <c r="H27" s="2">
        <v>1501124</v>
      </c>
      <c r="I27" s="2">
        <v>1559818</v>
      </c>
    </row>
    <row r="28" spans="4:9" ht="15.75" customHeight="1" x14ac:dyDescent="0.15">
      <c r="D28" s="2">
        <f t="shared" si="0"/>
        <v>25</v>
      </c>
      <c r="E28" s="2">
        <v>7663947</v>
      </c>
      <c r="F28" s="2">
        <v>3210953</v>
      </c>
      <c r="G28" s="2">
        <v>1547167</v>
      </c>
      <c r="H28" s="2">
        <v>1526300</v>
      </c>
      <c r="I28" s="2">
        <v>1495711</v>
      </c>
    </row>
    <row r="29" spans="4:9" ht="15.75" customHeight="1" x14ac:dyDescent="0.15">
      <c r="D29" s="2">
        <f t="shared" si="0"/>
        <v>26</v>
      </c>
      <c r="E29" s="2">
        <v>7346549</v>
      </c>
      <c r="F29" s="2">
        <v>3425810</v>
      </c>
      <c r="G29" s="2">
        <v>1601069</v>
      </c>
      <c r="H29" s="2">
        <v>1541574</v>
      </c>
      <c r="I29" s="2">
        <v>1513694</v>
      </c>
    </row>
    <row r="30" spans="4:9" ht="15.75" customHeight="1" x14ac:dyDescent="0.15">
      <c r="D30" s="2">
        <f t="shared" si="0"/>
        <v>27</v>
      </c>
      <c r="E30" s="2">
        <v>7213366</v>
      </c>
      <c r="F30" s="2">
        <v>3554509</v>
      </c>
      <c r="G30" s="2">
        <v>1513423</v>
      </c>
      <c r="H30" s="2">
        <v>1519278</v>
      </c>
      <c r="I30" s="2">
        <v>1482950</v>
      </c>
    </row>
    <row r="31" spans="4:9" ht="15.75" customHeight="1" x14ac:dyDescent="0.15">
      <c r="D31" s="2">
        <f t="shared" si="0"/>
        <v>28</v>
      </c>
      <c r="E31" s="2">
        <v>6300041</v>
      </c>
      <c r="F31" s="2">
        <v>3415892</v>
      </c>
      <c r="G31" s="2">
        <v>1524516</v>
      </c>
      <c r="H31" s="2">
        <v>1499938</v>
      </c>
      <c r="I31" s="2">
        <v>1457714</v>
      </c>
    </row>
    <row r="32" spans="4:9" ht="15.75" customHeight="1" x14ac:dyDescent="0.15">
      <c r="D32" s="2">
        <f t="shared" si="0"/>
        <v>29</v>
      </c>
      <c r="E32" s="2">
        <v>6797351</v>
      </c>
      <c r="F32" s="2">
        <v>3433722</v>
      </c>
      <c r="G32" s="2">
        <v>1552200</v>
      </c>
      <c r="H32" s="2">
        <v>1420352</v>
      </c>
      <c r="I32" s="2">
        <v>1496732</v>
      </c>
    </row>
    <row r="33" spans="1:9" ht="15.75" customHeight="1" x14ac:dyDescent="0.15">
      <c r="D33" s="2">
        <f t="shared" si="0"/>
        <v>30</v>
      </c>
      <c r="E33" s="2">
        <v>7136648</v>
      </c>
      <c r="F33" s="2">
        <v>3356867</v>
      </c>
      <c r="G33" s="2">
        <v>1614298</v>
      </c>
      <c r="H33" s="2">
        <v>1515069</v>
      </c>
      <c r="I33" s="2">
        <v>1401014</v>
      </c>
    </row>
    <row r="34" spans="1:9" ht="15.75" customHeight="1" x14ac:dyDescent="0.15">
      <c r="D34" s="1" t="s">
        <v>15</v>
      </c>
      <c r="E34" s="2">
        <f t="shared" ref="E34:I34" si="1">AVERAGE(E4:E33)</f>
        <v>6979319.7999999998</v>
      </c>
      <c r="F34" s="2">
        <f t="shared" si="1"/>
        <v>3468550.2</v>
      </c>
      <c r="G34" s="2">
        <f t="shared" si="1"/>
        <v>1608475.6333333333</v>
      </c>
      <c r="H34" s="2">
        <f t="shared" si="1"/>
        <v>1536990.3666666667</v>
      </c>
      <c r="I34" s="2">
        <f t="shared" si="1"/>
        <v>1484277.8333333333</v>
      </c>
    </row>
    <row r="35" spans="1:9" ht="15.75" customHeight="1" x14ac:dyDescent="0.15">
      <c r="D35" s="1" t="s">
        <v>16</v>
      </c>
      <c r="E35" s="2">
        <f t="shared" ref="E35:I35" si="2">STDEV(E4:E33)</f>
        <v>628477.09869188187</v>
      </c>
      <c r="F35" s="2">
        <f t="shared" si="2"/>
        <v>167850.10753736037</v>
      </c>
      <c r="G35" s="2">
        <f t="shared" si="2"/>
        <v>79472.763715533758</v>
      </c>
      <c r="H35" s="2">
        <f t="shared" si="2"/>
        <v>55561.867905396961</v>
      </c>
      <c r="I35" s="2">
        <f t="shared" si="2"/>
        <v>57070.000306993432</v>
      </c>
    </row>
    <row r="36" spans="1:9" ht="15.75" customHeight="1" x14ac:dyDescent="0.15">
      <c r="A36" s="1" t="s">
        <v>7</v>
      </c>
      <c r="B36" s="1" t="s">
        <v>83</v>
      </c>
      <c r="C36" s="1" t="s">
        <v>47</v>
      </c>
    </row>
    <row r="37" spans="1:9" ht="15.75" customHeight="1" x14ac:dyDescent="0.15">
      <c r="A37" s="2">
        <f>STDEV(E4:E33)</f>
        <v>628477.09869188187</v>
      </c>
      <c r="B37" s="2">
        <f>AVERAGE(E4:E33)</f>
        <v>6979319.7999999998</v>
      </c>
      <c r="C37" s="2">
        <v>1</v>
      </c>
    </row>
    <row r="38" spans="1:9" ht="15.75" customHeight="1" x14ac:dyDescent="0.15">
      <c r="A38" s="2">
        <f>STDEV(F4:F33)</f>
        <v>167850.10753736037</v>
      </c>
      <c r="B38" s="2">
        <f>AVERAGE(F4:F33)</f>
        <v>3468550.2</v>
      </c>
      <c r="C38" s="2">
        <v>2</v>
      </c>
    </row>
    <row r="39" spans="1:9" ht="15.75" customHeight="1" x14ac:dyDescent="0.15">
      <c r="A39" s="2">
        <f>STDEV(G4:G33)</f>
        <v>79472.763715533758</v>
      </c>
      <c r="B39" s="2">
        <f>AVERAGE(G4:G33)</f>
        <v>1608475.6333333333</v>
      </c>
      <c r="C39" s="2">
        <v>4</v>
      </c>
    </row>
    <row r="40" spans="1:9" ht="15.75" customHeight="1" x14ac:dyDescent="0.15">
      <c r="A40" s="2">
        <f>STDEV(H4:H33)</f>
        <v>55561.867905396961</v>
      </c>
      <c r="B40" s="2">
        <f>AVERAGE(H4:H33)</f>
        <v>1536990.3666666667</v>
      </c>
      <c r="C40" s="2">
        <v>8</v>
      </c>
    </row>
    <row r="41" spans="1:9" ht="15.75" customHeight="1" x14ac:dyDescent="0.15">
      <c r="A41" s="2">
        <f>STDEV(I4:I33)</f>
        <v>57070.000306993432</v>
      </c>
      <c r="B41" s="2">
        <f>AVERAGE(I4:I33)</f>
        <v>1484277.8333333333</v>
      </c>
      <c r="C41" s="2">
        <v>12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3:I41"/>
  <sheetViews>
    <sheetView workbookViewId="0"/>
  </sheetViews>
  <sheetFormatPr baseColWidth="10" defaultColWidth="12.6640625" defaultRowHeight="15.75" customHeight="1" x14ac:dyDescent="0.15"/>
  <cols>
    <col min="1" max="1" width="16" customWidth="1"/>
    <col min="2" max="2" width="14.1640625" customWidth="1"/>
    <col min="4" max="4" width="17.1640625" customWidth="1"/>
    <col min="5" max="5" width="28" customWidth="1"/>
    <col min="6" max="6" width="28.83203125" customWidth="1"/>
    <col min="7" max="7" width="26.83203125" customWidth="1"/>
    <col min="8" max="8" width="28.6640625" customWidth="1"/>
    <col min="9" max="9" width="26.6640625" customWidth="1"/>
  </cols>
  <sheetData>
    <row r="3" spans="4:9" ht="15.75" customHeight="1" x14ac:dyDescent="0.15">
      <c r="D3" s="1"/>
      <c r="E3" s="1" t="s">
        <v>103</v>
      </c>
      <c r="F3" s="1" t="s">
        <v>104</v>
      </c>
      <c r="G3" s="1" t="s">
        <v>70</v>
      </c>
      <c r="H3" s="1" t="s">
        <v>105</v>
      </c>
      <c r="I3" s="1" t="s">
        <v>106</v>
      </c>
    </row>
    <row r="4" spans="4:9" ht="15.75" customHeight="1" x14ac:dyDescent="0.15">
      <c r="D4" s="2">
        <v>1</v>
      </c>
      <c r="E4" s="2">
        <v>11856971</v>
      </c>
      <c r="F4" s="2">
        <v>6245649</v>
      </c>
      <c r="G4" s="2">
        <v>2985537</v>
      </c>
      <c r="H4" s="2">
        <v>2469310</v>
      </c>
      <c r="I4" s="2">
        <v>2587712</v>
      </c>
    </row>
    <row r="5" spans="4:9" ht="15.75" customHeight="1" x14ac:dyDescent="0.15">
      <c r="D5" s="2">
        <f t="shared" ref="D5:D33" si="0">D4+1</f>
        <v>2</v>
      </c>
      <c r="E5" s="2">
        <v>12842359</v>
      </c>
      <c r="F5" s="2">
        <v>6326335</v>
      </c>
      <c r="G5" s="2">
        <v>2807524</v>
      </c>
      <c r="H5" s="2">
        <v>2540031</v>
      </c>
      <c r="I5" s="2">
        <v>2589512</v>
      </c>
    </row>
    <row r="6" spans="4:9" ht="15.75" customHeight="1" x14ac:dyDescent="0.15">
      <c r="D6" s="2">
        <f t="shared" si="0"/>
        <v>3</v>
      </c>
      <c r="E6" s="2">
        <v>11767806</v>
      </c>
      <c r="F6" s="2">
        <v>6556287</v>
      </c>
      <c r="G6" s="2">
        <v>2883542</v>
      </c>
      <c r="H6" s="2">
        <v>2578188</v>
      </c>
      <c r="I6" s="2">
        <v>2631594</v>
      </c>
    </row>
    <row r="7" spans="4:9" ht="15.75" customHeight="1" x14ac:dyDescent="0.15">
      <c r="D7" s="2">
        <f t="shared" si="0"/>
        <v>4</v>
      </c>
      <c r="E7" s="2">
        <v>10641454</v>
      </c>
      <c r="F7" s="2">
        <v>6581640</v>
      </c>
      <c r="G7" s="2">
        <v>2771622</v>
      </c>
      <c r="H7" s="2">
        <v>2549103</v>
      </c>
      <c r="I7" s="2">
        <v>2511257</v>
      </c>
    </row>
    <row r="8" spans="4:9" ht="15.75" customHeight="1" x14ac:dyDescent="0.15">
      <c r="D8" s="2">
        <f t="shared" si="0"/>
        <v>5</v>
      </c>
      <c r="E8" s="2">
        <v>12222291</v>
      </c>
      <c r="F8" s="2">
        <v>7191797</v>
      </c>
      <c r="G8" s="2">
        <v>3397183</v>
      </c>
      <c r="H8" s="2">
        <v>2694869</v>
      </c>
      <c r="I8" s="2">
        <v>2538455</v>
      </c>
    </row>
    <row r="9" spans="4:9" ht="15.75" customHeight="1" x14ac:dyDescent="0.15">
      <c r="D9" s="2">
        <f t="shared" si="0"/>
        <v>6</v>
      </c>
      <c r="E9" s="2">
        <v>12721688</v>
      </c>
      <c r="F9" s="2">
        <v>6184142</v>
      </c>
      <c r="G9" s="2">
        <v>3351074</v>
      </c>
      <c r="H9" s="2">
        <v>2643424</v>
      </c>
      <c r="I9" s="2">
        <v>2564704</v>
      </c>
    </row>
    <row r="10" spans="4:9" ht="15.75" customHeight="1" x14ac:dyDescent="0.15">
      <c r="D10" s="2">
        <f t="shared" si="0"/>
        <v>7</v>
      </c>
      <c r="E10" s="2">
        <v>12226114</v>
      </c>
      <c r="F10" s="2">
        <v>6222507</v>
      </c>
      <c r="G10" s="2">
        <v>2945803</v>
      </c>
      <c r="H10" s="2">
        <v>2653640</v>
      </c>
      <c r="I10" s="2">
        <v>2588945</v>
      </c>
    </row>
    <row r="11" spans="4:9" ht="15.75" customHeight="1" x14ac:dyDescent="0.15">
      <c r="D11" s="2">
        <f t="shared" si="0"/>
        <v>8</v>
      </c>
      <c r="E11" s="2">
        <v>12320544</v>
      </c>
      <c r="F11" s="2">
        <v>6043978</v>
      </c>
      <c r="G11" s="2">
        <v>2895306</v>
      </c>
      <c r="H11" s="2">
        <v>2626785</v>
      </c>
      <c r="I11" s="2">
        <v>2578561</v>
      </c>
    </row>
    <row r="12" spans="4:9" ht="15.75" customHeight="1" x14ac:dyDescent="0.15">
      <c r="D12" s="2">
        <f t="shared" si="0"/>
        <v>9</v>
      </c>
      <c r="E12" s="2">
        <v>12662975</v>
      </c>
      <c r="F12" s="2">
        <v>6354503</v>
      </c>
      <c r="G12" s="2">
        <v>2818604</v>
      </c>
      <c r="H12" s="2">
        <v>2637800</v>
      </c>
      <c r="I12" s="2">
        <v>2622769</v>
      </c>
    </row>
    <row r="13" spans="4:9" ht="15.75" customHeight="1" x14ac:dyDescent="0.15">
      <c r="D13" s="2">
        <f t="shared" si="0"/>
        <v>10</v>
      </c>
      <c r="E13" s="2">
        <v>12609556</v>
      </c>
      <c r="F13" s="2">
        <v>6260874</v>
      </c>
      <c r="G13" s="2">
        <v>2832754</v>
      </c>
      <c r="H13" s="2">
        <v>2629480</v>
      </c>
      <c r="I13" s="2">
        <v>2655195</v>
      </c>
    </row>
    <row r="14" spans="4:9" ht="15.75" customHeight="1" x14ac:dyDescent="0.15">
      <c r="D14" s="2">
        <f t="shared" si="0"/>
        <v>11</v>
      </c>
      <c r="E14" s="2">
        <v>11632507</v>
      </c>
      <c r="F14" s="2">
        <v>6588778</v>
      </c>
      <c r="G14" s="2">
        <v>2969084</v>
      </c>
      <c r="H14" s="2">
        <v>2556075</v>
      </c>
      <c r="I14" s="2">
        <v>2595083</v>
      </c>
    </row>
    <row r="15" spans="4:9" ht="15.75" customHeight="1" x14ac:dyDescent="0.15">
      <c r="D15" s="2">
        <f t="shared" si="0"/>
        <v>12</v>
      </c>
      <c r="E15" s="2">
        <v>12823166</v>
      </c>
      <c r="F15" s="2">
        <v>6092790</v>
      </c>
      <c r="G15" s="2">
        <v>2746921</v>
      </c>
      <c r="H15" s="2">
        <v>2676276</v>
      </c>
      <c r="I15" s="2">
        <v>2440357</v>
      </c>
    </row>
    <row r="16" spans="4:9" ht="15.75" customHeight="1" x14ac:dyDescent="0.15">
      <c r="D16" s="2">
        <f t="shared" si="0"/>
        <v>13</v>
      </c>
      <c r="E16" s="2">
        <v>12577396</v>
      </c>
      <c r="F16" s="2">
        <v>6362748</v>
      </c>
      <c r="G16" s="2">
        <v>2796538</v>
      </c>
      <c r="H16" s="2">
        <v>2642925</v>
      </c>
      <c r="I16" s="2">
        <v>2554497</v>
      </c>
    </row>
    <row r="17" spans="4:9" ht="15.75" customHeight="1" x14ac:dyDescent="0.15">
      <c r="D17" s="2">
        <f t="shared" si="0"/>
        <v>14</v>
      </c>
      <c r="E17" s="2">
        <v>13095620</v>
      </c>
      <c r="F17" s="2">
        <v>6744597</v>
      </c>
      <c r="G17" s="2">
        <v>2957484</v>
      </c>
      <c r="H17" s="2">
        <v>2658136</v>
      </c>
      <c r="I17" s="2">
        <v>2626812</v>
      </c>
    </row>
    <row r="18" spans="4:9" ht="15.75" customHeight="1" x14ac:dyDescent="0.15">
      <c r="D18" s="2">
        <f t="shared" si="0"/>
        <v>15</v>
      </c>
      <c r="E18" s="2">
        <v>13029002</v>
      </c>
      <c r="F18" s="2">
        <v>6560689</v>
      </c>
      <c r="G18" s="2">
        <v>2822526</v>
      </c>
      <c r="H18" s="2">
        <v>2633469</v>
      </c>
      <c r="I18" s="2">
        <v>2587992</v>
      </c>
    </row>
    <row r="19" spans="4:9" ht="15.75" customHeight="1" x14ac:dyDescent="0.15">
      <c r="D19" s="2">
        <f t="shared" si="0"/>
        <v>16</v>
      </c>
      <c r="E19" s="2">
        <v>10574904</v>
      </c>
      <c r="F19" s="2">
        <v>6312898</v>
      </c>
      <c r="G19" s="2">
        <v>2930349</v>
      </c>
      <c r="H19" s="2">
        <v>2597230</v>
      </c>
      <c r="I19" s="2">
        <v>2551113</v>
      </c>
    </row>
    <row r="20" spans="4:9" ht="15.75" customHeight="1" x14ac:dyDescent="0.15">
      <c r="D20" s="2">
        <f t="shared" si="0"/>
        <v>17</v>
      </c>
      <c r="E20" s="2">
        <v>12988768</v>
      </c>
      <c r="F20" s="2">
        <v>6360607</v>
      </c>
      <c r="G20" s="2">
        <v>2823667</v>
      </c>
      <c r="H20" s="2">
        <v>2584009</v>
      </c>
      <c r="I20" s="2">
        <v>2636702</v>
      </c>
    </row>
    <row r="21" spans="4:9" ht="15.75" customHeight="1" x14ac:dyDescent="0.15">
      <c r="D21" s="2">
        <f t="shared" si="0"/>
        <v>18</v>
      </c>
      <c r="E21" s="2">
        <v>12994184</v>
      </c>
      <c r="F21" s="2">
        <v>6340853</v>
      </c>
      <c r="G21" s="2">
        <v>2830122</v>
      </c>
      <c r="H21" s="2">
        <v>2597089</v>
      </c>
      <c r="I21" s="2">
        <v>2589944</v>
      </c>
    </row>
    <row r="22" spans="4:9" ht="15.75" customHeight="1" x14ac:dyDescent="0.15">
      <c r="D22" s="2">
        <f t="shared" si="0"/>
        <v>19</v>
      </c>
      <c r="E22" s="2">
        <v>10965749</v>
      </c>
      <c r="F22" s="2">
        <v>6335242</v>
      </c>
      <c r="G22" s="2">
        <v>2890035</v>
      </c>
      <c r="H22" s="2">
        <v>2359534</v>
      </c>
      <c r="I22" s="2">
        <v>2483870</v>
      </c>
    </row>
    <row r="23" spans="4:9" ht="15.75" customHeight="1" x14ac:dyDescent="0.15">
      <c r="D23" s="2">
        <f t="shared" si="0"/>
        <v>20</v>
      </c>
      <c r="E23" s="2">
        <v>12552021</v>
      </c>
      <c r="F23" s="2">
        <v>6342764</v>
      </c>
      <c r="G23" s="2">
        <v>2851904</v>
      </c>
      <c r="H23" s="2">
        <v>2576879</v>
      </c>
      <c r="I23" s="2">
        <v>2531930</v>
      </c>
    </row>
    <row r="24" spans="4:9" ht="15.75" customHeight="1" x14ac:dyDescent="0.15">
      <c r="D24" s="2">
        <f t="shared" si="0"/>
        <v>21</v>
      </c>
      <c r="E24" s="2">
        <v>13082780</v>
      </c>
      <c r="F24" s="2">
        <v>6432095</v>
      </c>
      <c r="G24" s="2">
        <v>3003615</v>
      </c>
      <c r="H24" s="2">
        <v>2673440</v>
      </c>
      <c r="I24" s="2">
        <v>2570282</v>
      </c>
    </row>
    <row r="25" spans="4:9" ht="15.75" customHeight="1" x14ac:dyDescent="0.15">
      <c r="D25" s="2">
        <f t="shared" si="0"/>
        <v>22</v>
      </c>
      <c r="E25" s="2">
        <v>12926853</v>
      </c>
      <c r="F25" s="2">
        <v>6340383</v>
      </c>
      <c r="G25" s="2">
        <v>2805117</v>
      </c>
      <c r="H25" s="2">
        <v>2573765</v>
      </c>
      <c r="I25" s="2">
        <v>2559347</v>
      </c>
    </row>
    <row r="26" spans="4:9" ht="15.75" customHeight="1" x14ac:dyDescent="0.15">
      <c r="D26" s="2">
        <f t="shared" si="0"/>
        <v>23</v>
      </c>
      <c r="E26" s="2">
        <v>13177608</v>
      </c>
      <c r="F26" s="2">
        <v>6213803</v>
      </c>
      <c r="G26" s="2">
        <v>2831554</v>
      </c>
      <c r="H26" s="2">
        <v>2641242</v>
      </c>
      <c r="I26" s="2">
        <v>2544803</v>
      </c>
    </row>
    <row r="27" spans="4:9" ht="15.75" customHeight="1" x14ac:dyDescent="0.15">
      <c r="D27" s="2">
        <f t="shared" si="0"/>
        <v>24</v>
      </c>
      <c r="E27" s="2">
        <v>12732208</v>
      </c>
      <c r="F27" s="2">
        <v>6307935</v>
      </c>
      <c r="G27" s="2">
        <v>2636026</v>
      </c>
      <c r="H27" s="2">
        <v>2664693</v>
      </c>
      <c r="I27" s="2">
        <v>2558431</v>
      </c>
    </row>
    <row r="28" spans="4:9" ht="15.75" customHeight="1" x14ac:dyDescent="0.15">
      <c r="D28" s="2">
        <f t="shared" si="0"/>
        <v>25</v>
      </c>
      <c r="E28" s="2">
        <v>12967755</v>
      </c>
      <c r="F28" s="2">
        <v>6118995</v>
      </c>
      <c r="G28" s="2">
        <v>2879238</v>
      </c>
      <c r="H28" s="2">
        <v>2696571</v>
      </c>
      <c r="I28" s="2">
        <v>2529289</v>
      </c>
    </row>
    <row r="29" spans="4:9" ht="15.75" customHeight="1" x14ac:dyDescent="0.15">
      <c r="D29" s="2">
        <f t="shared" si="0"/>
        <v>26</v>
      </c>
      <c r="E29" s="2">
        <v>13044081</v>
      </c>
      <c r="F29" s="2">
        <v>6399768</v>
      </c>
      <c r="G29" s="2">
        <v>2710570</v>
      </c>
      <c r="H29" s="2">
        <v>2506000</v>
      </c>
      <c r="I29" s="2">
        <v>2603002</v>
      </c>
    </row>
    <row r="30" spans="4:9" ht="15.75" customHeight="1" x14ac:dyDescent="0.15">
      <c r="D30" s="2">
        <f t="shared" si="0"/>
        <v>27</v>
      </c>
      <c r="E30" s="2">
        <v>13020959</v>
      </c>
      <c r="F30" s="2">
        <v>5923110</v>
      </c>
      <c r="G30" s="2">
        <v>2713384</v>
      </c>
      <c r="H30" s="2">
        <v>2654452</v>
      </c>
      <c r="I30" s="2">
        <v>2559390</v>
      </c>
    </row>
    <row r="31" spans="4:9" ht="15.75" customHeight="1" x14ac:dyDescent="0.15">
      <c r="D31" s="2">
        <f t="shared" si="0"/>
        <v>28</v>
      </c>
      <c r="E31" s="2">
        <v>11932595</v>
      </c>
      <c r="F31" s="2">
        <v>6585775</v>
      </c>
      <c r="G31" s="2">
        <v>2844441</v>
      </c>
      <c r="H31" s="2">
        <v>2555922</v>
      </c>
      <c r="I31" s="2">
        <v>2646227</v>
      </c>
    </row>
    <row r="32" spans="4:9" ht="15.75" customHeight="1" x14ac:dyDescent="0.15">
      <c r="D32" s="2">
        <f t="shared" si="0"/>
        <v>29</v>
      </c>
      <c r="E32" s="2">
        <v>12460589</v>
      </c>
      <c r="F32" s="2">
        <v>6314736</v>
      </c>
      <c r="G32" s="2">
        <v>2976444</v>
      </c>
      <c r="H32" s="2">
        <v>2670807</v>
      </c>
      <c r="I32" s="2">
        <v>2602495</v>
      </c>
    </row>
    <row r="33" spans="1:9" ht="15.75" customHeight="1" x14ac:dyDescent="0.15">
      <c r="D33" s="2">
        <f t="shared" si="0"/>
        <v>30</v>
      </c>
      <c r="E33" s="2">
        <v>13277167</v>
      </c>
      <c r="F33" s="2">
        <v>6004711</v>
      </c>
      <c r="G33" s="2">
        <v>2809219</v>
      </c>
      <c r="H33" s="2">
        <v>2652935</v>
      </c>
      <c r="I33" s="2">
        <v>2776428</v>
      </c>
    </row>
    <row r="34" spans="1:9" ht="15.75" customHeight="1" x14ac:dyDescent="0.15">
      <c r="D34" s="1" t="s">
        <v>15</v>
      </c>
      <c r="E34" s="2">
        <f t="shared" ref="E34:I34" si="1">AVERAGE(E4:E33)</f>
        <v>12457589</v>
      </c>
      <c r="F34" s="2">
        <f t="shared" si="1"/>
        <v>6355032.9666666668</v>
      </c>
      <c r="G34" s="2">
        <f t="shared" si="1"/>
        <v>2883906.2333333334</v>
      </c>
      <c r="H34" s="2">
        <f t="shared" si="1"/>
        <v>2606469.2999999998</v>
      </c>
      <c r="I34" s="2">
        <f t="shared" si="1"/>
        <v>2580556.6</v>
      </c>
    </row>
    <row r="35" spans="1:9" ht="15.75" customHeight="1" x14ac:dyDescent="0.15">
      <c r="D35" s="1" t="s">
        <v>16</v>
      </c>
      <c r="E35" s="2">
        <f t="shared" ref="E35:I35" si="2">STDEV(E4:E33)</f>
        <v>731814.41850362113</v>
      </c>
      <c r="F35" s="2">
        <f t="shared" si="2"/>
        <v>244064.55010077849</v>
      </c>
      <c r="G35" s="2">
        <f t="shared" si="2"/>
        <v>159033.05624079701</v>
      </c>
      <c r="H35" s="2">
        <f t="shared" si="2"/>
        <v>73070.330085260779</v>
      </c>
      <c r="I35" s="2">
        <f t="shared" si="2"/>
        <v>60061.371707210652</v>
      </c>
    </row>
    <row r="36" spans="1:9" ht="15.75" customHeight="1" x14ac:dyDescent="0.15">
      <c r="A36" s="1" t="s">
        <v>7</v>
      </c>
      <c r="B36" s="1" t="s">
        <v>83</v>
      </c>
      <c r="C36" s="1" t="s">
        <v>47</v>
      </c>
    </row>
    <row r="37" spans="1:9" ht="15.75" customHeight="1" x14ac:dyDescent="0.15">
      <c r="A37" s="2">
        <f>STDEV(E4:E33)</f>
        <v>731814.41850362113</v>
      </c>
      <c r="B37" s="2">
        <f>AVERAGE(E4:E33)</f>
        <v>12457589</v>
      </c>
      <c r="C37" s="2">
        <v>1</v>
      </c>
    </row>
    <row r="38" spans="1:9" ht="15.75" customHeight="1" x14ac:dyDescent="0.15">
      <c r="A38" s="2">
        <f>STDEV(F4:F33)</f>
        <v>244064.55010077849</v>
      </c>
      <c r="B38" s="2">
        <f>AVERAGE(F4:F33)</f>
        <v>6355032.9666666668</v>
      </c>
      <c r="C38" s="2">
        <v>2</v>
      </c>
    </row>
    <row r="39" spans="1:9" ht="15.75" customHeight="1" x14ac:dyDescent="0.15">
      <c r="A39" s="2">
        <f>STDEV(G4:G33)</f>
        <v>159033.05624079701</v>
      </c>
      <c r="B39" s="2">
        <f>AVERAGE(G4:G33)</f>
        <v>2883906.2333333334</v>
      </c>
      <c r="C39" s="2">
        <v>4</v>
      </c>
    </row>
    <row r="40" spans="1:9" ht="15.75" customHeight="1" x14ac:dyDescent="0.15">
      <c r="A40" s="2">
        <f>STDEV(H4:H33)</f>
        <v>73070.330085260779</v>
      </c>
      <c r="B40" s="2">
        <f>AVERAGE(H4:H33)</f>
        <v>2606469.2999999998</v>
      </c>
      <c r="C40" s="2">
        <v>8</v>
      </c>
    </row>
    <row r="41" spans="1:9" ht="15.75" customHeight="1" x14ac:dyDescent="0.15">
      <c r="A41" s="2">
        <f>STDEV(I4:I33)</f>
        <v>60061.371707210652</v>
      </c>
      <c r="B41" s="2">
        <f>AVERAGE(I4:I33)</f>
        <v>2580556.6</v>
      </c>
      <c r="C41" s="2">
        <v>12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3:H41"/>
  <sheetViews>
    <sheetView workbookViewId="0"/>
  </sheetViews>
  <sheetFormatPr baseColWidth="10" defaultColWidth="12.6640625" defaultRowHeight="15.75" customHeight="1" x14ac:dyDescent="0.15"/>
  <cols>
    <col min="1" max="1" width="16.33203125" customWidth="1"/>
    <col min="2" max="2" width="16.5" customWidth="1"/>
    <col min="3" max="3" width="16" customWidth="1"/>
    <col min="4" max="4" width="26.5" customWidth="1"/>
    <col min="5" max="5" width="26.1640625" customWidth="1"/>
    <col min="6" max="6" width="26" customWidth="1"/>
    <col min="7" max="7" width="25.5" customWidth="1"/>
    <col min="8" max="8" width="26" customWidth="1"/>
  </cols>
  <sheetData>
    <row r="3" spans="3:8" ht="15.75" customHeight="1" x14ac:dyDescent="0.15">
      <c r="C3" s="1"/>
      <c r="D3" s="1" t="s">
        <v>107</v>
      </c>
      <c r="E3" s="1" t="s">
        <v>108</v>
      </c>
      <c r="F3" s="1" t="s">
        <v>109</v>
      </c>
      <c r="G3" s="1" t="s">
        <v>110</v>
      </c>
      <c r="H3" s="1" t="s">
        <v>111</v>
      </c>
    </row>
    <row r="4" spans="3:8" ht="15.75" customHeight="1" x14ac:dyDescent="0.15">
      <c r="C4" s="2">
        <v>1</v>
      </c>
      <c r="D4" s="2">
        <v>33758893</v>
      </c>
      <c r="E4" s="2">
        <v>19581777</v>
      </c>
      <c r="F4" s="2">
        <v>8508667</v>
      </c>
      <c r="G4" s="2">
        <v>8212828</v>
      </c>
      <c r="H4" s="2">
        <v>8329134</v>
      </c>
    </row>
    <row r="5" spans="3:8" ht="15.75" customHeight="1" x14ac:dyDescent="0.15">
      <c r="C5" s="2">
        <f t="shared" ref="C5:C33" si="0">C4+1</f>
        <v>2</v>
      </c>
      <c r="D5" s="2">
        <v>35081143</v>
      </c>
      <c r="E5" s="2">
        <v>19578769</v>
      </c>
      <c r="F5" s="2">
        <v>8809665</v>
      </c>
      <c r="G5" s="2">
        <v>9171471</v>
      </c>
      <c r="H5" s="2">
        <v>8341096</v>
      </c>
    </row>
    <row r="6" spans="3:8" ht="15.75" customHeight="1" x14ac:dyDescent="0.15">
      <c r="C6" s="2">
        <f t="shared" si="0"/>
        <v>3</v>
      </c>
      <c r="D6" s="2">
        <v>33400974</v>
      </c>
      <c r="E6" s="2">
        <v>16080483</v>
      </c>
      <c r="F6" s="2">
        <v>8963981</v>
      </c>
      <c r="G6" s="2">
        <v>8504242</v>
      </c>
      <c r="H6" s="2">
        <v>8181193</v>
      </c>
    </row>
    <row r="7" spans="3:8" ht="15.75" customHeight="1" x14ac:dyDescent="0.15">
      <c r="C7" s="2">
        <f t="shared" si="0"/>
        <v>4</v>
      </c>
      <c r="D7" s="2">
        <v>34533780</v>
      </c>
      <c r="E7" s="2">
        <v>18383482</v>
      </c>
      <c r="F7" s="2">
        <v>8768801</v>
      </c>
      <c r="G7" s="2">
        <v>8773123</v>
      </c>
      <c r="H7" s="2">
        <v>8782616</v>
      </c>
    </row>
    <row r="8" spans="3:8" ht="15.75" customHeight="1" x14ac:dyDescent="0.15">
      <c r="C8" s="2">
        <f t="shared" si="0"/>
        <v>5</v>
      </c>
      <c r="D8" s="2">
        <v>37202728</v>
      </c>
      <c r="E8" s="2">
        <v>19711526</v>
      </c>
      <c r="F8" s="2">
        <v>8462173</v>
      </c>
      <c r="G8" s="2">
        <v>8471467</v>
      </c>
      <c r="H8" s="2">
        <v>9101836</v>
      </c>
    </row>
    <row r="9" spans="3:8" ht="15.75" customHeight="1" x14ac:dyDescent="0.15">
      <c r="C9" s="2">
        <f t="shared" si="0"/>
        <v>6</v>
      </c>
      <c r="D9" s="2">
        <v>31802910</v>
      </c>
      <c r="E9" s="2">
        <v>17463259</v>
      </c>
      <c r="F9" s="2">
        <v>9068842</v>
      </c>
      <c r="G9" s="2">
        <v>8702852</v>
      </c>
      <c r="H9" s="2">
        <v>8380820</v>
      </c>
    </row>
    <row r="10" spans="3:8" ht="15.75" customHeight="1" x14ac:dyDescent="0.15">
      <c r="C10" s="2">
        <f t="shared" si="0"/>
        <v>7</v>
      </c>
      <c r="D10" s="2">
        <v>36493988</v>
      </c>
      <c r="E10" s="2">
        <v>19486766</v>
      </c>
      <c r="F10" s="2">
        <v>9256289</v>
      </c>
      <c r="G10" s="2">
        <v>8266902</v>
      </c>
      <c r="H10" s="2">
        <v>8947803</v>
      </c>
    </row>
    <row r="11" spans="3:8" ht="15.75" customHeight="1" x14ac:dyDescent="0.15">
      <c r="C11" s="2">
        <f t="shared" si="0"/>
        <v>8</v>
      </c>
      <c r="D11" s="2">
        <v>38393199</v>
      </c>
      <c r="E11" s="2">
        <v>18464481</v>
      </c>
      <c r="F11" s="2">
        <v>9153272</v>
      </c>
      <c r="G11" s="2">
        <v>8684496</v>
      </c>
      <c r="H11" s="2">
        <v>9096772</v>
      </c>
    </row>
    <row r="12" spans="3:8" ht="15.75" customHeight="1" x14ac:dyDescent="0.15">
      <c r="C12" s="2">
        <f t="shared" si="0"/>
        <v>9</v>
      </c>
      <c r="D12" s="2">
        <v>32218442</v>
      </c>
      <c r="E12" s="2">
        <v>18934518</v>
      </c>
      <c r="F12" s="2">
        <v>9226279</v>
      </c>
      <c r="G12" s="2">
        <v>8869189</v>
      </c>
      <c r="H12" s="2">
        <v>7956403</v>
      </c>
    </row>
    <row r="13" spans="3:8" ht="15.75" customHeight="1" x14ac:dyDescent="0.15">
      <c r="C13" s="2">
        <f t="shared" si="0"/>
        <v>10</v>
      </c>
      <c r="D13" s="2">
        <v>34912620</v>
      </c>
      <c r="E13" s="2">
        <v>19405199</v>
      </c>
      <c r="F13" s="2">
        <v>8406026</v>
      </c>
      <c r="G13" s="2">
        <v>8368273</v>
      </c>
      <c r="H13" s="2">
        <v>8233513</v>
      </c>
    </row>
    <row r="14" spans="3:8" ht="15.75" customHeight="1" x14ac:dyDescent="0.15">
      <c r="C14" s="2">
        <f t="shared" si="0"/>
        <v>11</v>
      </c>
      <c r="D14" s="2">
        <v>34459724</v>
      </c>
      <c r="E14" s="2">
        <v>17914735</v>
      </c>
      <c r="F14" s="2">
        <v>9535336</v>
      </c>
      <c r="G14" s="2">
        <v>8629247</v>
      </c>
      <c r="H14" s="2">
        <v>9123504</v>
      </c>
    </row>
    <row r="15" spans="3:8" ht="15.75" customHeight="1" x14ac:dyDescent="0.15">
      <c r="C15" s="2">
        <f t="shared" si="0"/>
        <v>12</v>
      </c>
      <c r="D15" s="2">
        <v>37595680</v>
      </c>
      <c r="E15" s="2">
        <v>16979679</v>
      </c>
      <c r="F15" s="2">
        <v>8959980</v>
      </c>
      <c r="G15" s="2">
        <v>9338896</v>
      </c>
      <c r="H15" s="2">
        <v>8701247</v>
      </c>
    </row>
    <row r="16" spans="3:8" ht="15.75" customHeight="1" x14ac:dyDescent="0.15">
      <c r="C16" s="2">
        <f t="shared" si="0"/>
        <v>13</v>
      </c>
      <c r="D16" s="2">
        <v>34503446</v>
      </c>
      <c r="E16" s="2">
        <v>16605729</v>
      </c>
      <c r="F16" s="2">
        <v>9073878</v>
      </c>
      <c r="G16" s="2">
        <v>8174599</v>
      </c>
      <c r="H16" s="2">
        <v>8980799</v>
      </c>
    </row>
    <row r="17" spans="3:8" ht="15.75" customHeight="1" x14ac:dyDescent="0.15">
      <c r="C17" s="2">
        <f t="shared" si="0"/>
        <v>14</v>
      </c>
      <c r="D17" s="2">
        <v>37207015</v>
      </c>
      <c r="E17" s="2">
        <v>19191874</v>
      </c>
      <c r="F17" s="2">
        <v>8526494</v>
      </c>
      <c r="G17" s="2">
        <v>8049035</v>
      </c>
      <c r="H17" s="2">
        <v>8008488</v>
      </c>
    </row>
    <row r="18" spans="3:8" ht="15.75" customHeight="1" x14ac:dyDescent="0.15">
      <c r="C18" s="2">
        <f t="shared" si="0"/>
        <v>15</v>
      </c>
      <c r="D18" s="2">
        <v>39445023</v>
      </c>
      <c r="E18" s="2">
        <v>17514972</v>
      </c>
      <c r="F18" s="2">
        <v>9012048</v>
      </c>
      <c r="G18" s="2">
        <v>8358661</v>
      </c>
      <c r="H18" s="2">
        <v>8221382</v>
      </c>
    </row>
    <row r="19" spans="3:8" ht="15.75" customHeight="1" x14ac:dyDescent="0.15">
      <c r="C19" s="2">
        <f t="shared" si="0"/>
        <v>16</v>
      </c>
      <c r="D19" s="2">
        <v>36175343</v>
      </c>
      <c r="E19" s="2">
        <v>19244788</v>
      </c>
      <c r="F19" s="2">
        <v>9481702</v>
      </c>
      <c r="G19" s="2">
        <v>8811097</v>
      </c>
      <c r="H19" s="2">
        <v>9116668</v>
      </c>
    </row>
    <row r="20" spans="3:8" ht="15.75" customHeight="1" x14ac:dyDescent="0.15">
      <c r="C20" s="2">
        <f t="shared" si="0"/>
        <v>17</v>
      </c>
      <c r="D20" s="2">
        <v>37924577</v>
      </c>
      <c r="E20" s="2">
        <v>18371028</v>
      </c>
      <c r="F20" s="2">
        <v>8904486</v>
      </c>
      <c r="G20" s="2">
        <v>8545625</v>
      </c>
      <c r="H20" s="2">
        <v>8691036</v>
      </c>
    </row>
    <row r="21" spans="3:8" ht="15.75" customHeight="1" x14ac:dyDescent="0.15">
      <c r="C21" s="2">
        <f t="shared" si="0"/>
        <v>18</v>
      </c>
      <c r="D21" s="2">
        <v>36178210</v>
      </c>
      <c r="E21" s="2">
        <v>18446752</v>
      </c>
      <c r="F21" s="2">
        <v>9586886</v>
      </c>
      <c r="G21" s="2">
        <v>8157894</v>
      </c>
      <c r="H21" s="2">
        <v>8814320</v>
      </c>
    </row>
    <row r="22" spans="3:8" ht="15.75" customHeight="1" x14ac:dyDescent="0.15">
      <c r="C22" s="2">
        <f t="shared" si="0"/>
        <v>19</v>
      </c>
      <c r="D22" s="2">
        <v>36400924</v>
      </c>
      <c r="E22" s="2">
        <v>19945084</v>
      </c>
      <c r="F22" s="2">
        <v>8379251</v>
      </c>
      <c r="G22" s="2">
        <v>8146611</v>
      </c>
      <c r="H22" s="2">
        <v>8573780</v>
      </c>
    </row>
    <row r="23" spans="3:8" ht="15.75" customHeight="1" x14ac:dyDescent="0.15">
      <c r="C23" s="2">
        <f t="shared" si="0"/>
        <v>20</v>
      </c>
      <c r="D23" s="2">
        <v>38673138</v>
      </c>
      <c r="E23" s="2">
        <v>19889592</v>
      </c>
      <c r="F23" s="2">
        <v>9174455</v>
      </c>
      <c r="G23" s="2">
        <v>8860200</v>
      </c>
      <c r="H23" s="2">
        <v>8093180</v>
      </c>
    </row>
    <row r="24" spans="3:8" ht="15.75" customHeight="1" x14ac:dyDescent="0.15">
      <c r="C24" s="2">
        <f t="shared" si="0"/>
        <v>21</v>
      </c>
      <c r="D24" s="2">
        <v>38209353</v>
      </c>
      <c r="E24" s="2">
        <v>20156231</v>
      </c>
      <c r="F24" s="2">
        <v>8410246</v>
      </c>
      <c r="G24" s="2">
        <v>8654220</v>
      </c>
      <c r="H24" s="2">
        <v>8138593</v>
      </c>
    </row>
    <row r="25" spans="3:8" ht="15.75" customHeight="1" x14ac:dyDescent="0.15">
      <c r="C25" s="2">
        <f t="shared" si="0"/>
        <v>22</v>
      </c>
      <c r="D25" s="2">
        <v>37445945</v>
      </c>
      <c r="E25" s="2">
        <v>18838829</v>
      </c>
      <c r="F25" s="2">
        <v>9141446</v>
      </c>
      <c r="G25" s="2">
        <v>8807278</v>
      </c>
      <c r="H25" s="2">
        <v>7832030</v>
      </c>
    </row>
    <row r="26" spans="3:8" ht="15.75" customHeight="1" x14ac:dyDescent="0.15">
      <c r="C26" s="2">
        <f t="shared" si="0"/>
        <v>23</v>
      </c>
      <c r="D26" s="2">
        <v>40489594</v>
      </c>
      <c r="E26" s="2">
        <v>17081539</v>
      </c>
      <c r="F26" s="2">
        <v>9624255</v>
      </c>
      <c r="G26" s="2">
        <v>8985048</v>
      </c>
      <c r="H26" s="2">
        <v>8267629</v>
      </c>
    </row>
    <row r="27" spans="3:8" ht="15.75" customHeight="1" x14ac:dyDescent="0.15">
      <c r="C27" s="2">
        <f t="shared" si="0"/>
        <v>24</v>
      </c>
      <c r="D27" s="2">
        <v>39294155</v>
      </c>
      <c r="E27" s="2">
        <v>19090834</v>
      </c>
      <c r="F27" s="2">
        <v>9521830</v>
      </c>
      <c r="G27" s="2">
        <v>7981517</v>
      </c>
      <c r="H27" s="2">
        <v>7960146</v>
      </c>
    </row>
    <row r="28" spans="3:8" ht="15.75" customHeight="1" x14ac:dyDescent="0.15">
      <c r="C28" s="2">
        <f t="shared" si="0"/>
        <v>25</v>
      </c>
      <c r="D28" s="2">
        <v>35330249</v>
      </c>
      <c r="E28" s="2">
        <v>19305403</v>
      </c>
      <c r="F28" s="2">
        <v>10259073</v>
      </c>
      <c r="G28" s="2">
        <v>8377041</v>
      </c>
      <c r="H28" s="2">
        <v>9016863</v>
      </c>
    </row>
    <row r="29" spans="3:8" ht="15.75" customHeight="1" x14ac:dyDescent="0.15">
      <c r="C29" s="2">
        <f t="shared" si="0"/>
        <v>26</v>
      </c>
      <c r="D29" s="2">
        <v>36658298</v>
      </c>
      <c r="E29" s="2">
        <v>18271717</v>
      </c>
      <c r="F29" s="2">
        <v>8976962</v>
      </c>
      <c r="G29" s="2">
        <v>9160790</v>
      </c>
      <c r="H29" s="2">
        <v>8702081</v>
      </c>
    </row>
    <row r="30" spans="3:8" ht="15.75" customHeight="1" x14ac:dyDescent="0.15">
      <c r="C30" s="2">
        <f t="shared" si="0"/>
        <v>27</v>
      </c>
      <c r="D30" s="2">
        <v>37242191</v>
      </c>
      <c r="E30" s="2">
        <v>18264234</v>
      </c>
      <c r="F30" s="2">
        <v>9027372</v>
      </c>
      <c r="G30" s="2">
        <v>8453111</v>
      </c>
      <c r="H30" s="2">
        <v>8669569</v>
      </c>
    </row>
    <row r="31" spans="3:8" ht="15.75" customHeight="1" x14ac:dyDescent="0.15">
      <c r="C31" s="2">
        <f t="shared" si="0"/>
        <v>28</v>
      </c>
      <c r="D31" s="2">
        <v>37270803</v>
      </c>
      <c r="E31" s="2">
        <v>15350156</v>
      </c>
      <c r="F31" s="2">
        <v>9433307</v>
      </c>
      <c r="G31" s="2">
        <v>9122807</v>
      </c>
      <c r="H31" s="2">
        <v>8945818</v>
      </c>
    </row>
    <row r="32" spans="3:8" ht="15.75" customHeight="1" x14ac:dyDescent="0.15">
      <c r="C32" s="2">
        <f t="shared" si="0"/>
        <v>29</v>
      </c>
      <c r="D32" s="2">
        <v>37446423</v>
      </c>
      <c r="E32" s="2">
        <v>18923281</v>
      </c>
      <c r="F32" s="2">
        <v>9253802</v>
      </c>
      <c r="G32" s="2">
        <v>9019476</v>
      </c>
      <c r="H32" s="2">
        <v>9144616</v>
      </c>
    </row>
    <row r="33" spans="1:8" ht="15.75" customHeight="1" x14ac:dyDescent="0.15">
      <c r="C33" s="2">
        <f t="shared" si="0"/>
        <v>30</v>
      </c>
      <c r="D33" s="2">
        <v>37396852</v>
      </c>
      <c r="E33" s="2">
        <v>18542000</v>
      </c>
      <c r="F33" s="2">
        <v>9171350</v>
      </c>
      <c r="G33" s="2">
        <v>8803487</v>
      </c>
      <c r="H33" s="2">
        <v>8944848</v>
      </c>
    </row>
    <row r="34" spans="1:8" ht="15.75" customHeight="1" x14ac:dyDescent="0.15">
      <c r="C34" s="1" t="s">
        <v>15</v>
      </c>
      <c r="D34" s="2">
        <f t="shared" ref="D34:H34" si="1">AVERAGE(D4:D33)</f>
        <v>36438187.333333336</v>
      </c>
      <c r="E34" s="2">
        <f t="shared" si="1"/>
        <v>18500623.899999999</v>
      </c>
      <c r="F34" s="2">
        <f t="shared" si="1"/>
        <v>9069271.8000000007</v>
      </c>
      <c r="G34" s="2">
        <f t="shared" si="1"/>
        <v>8615382.7666666675</v>
      </c>
      <c r="H34" s="2">
        <f t="shared" si="1"/>
        <v>8576592.7666666675</v>
      </c>
    </row>
    <row r="35" spans="1:8" ht="15.75" customHeight="1" x14ac:dyDescent="0.15">
      <c r="C35" s="1" t="s">
        <v>16</v>
      </c>
      <c r="D35" s="2">
        <f t="shared" ref="D35:H35" si="2">STDEV(D4:D33)</f>
        <v>2093890.233520312</v>
      </c>
      <c r="E35" s="2">
        <f t="shared" si="2"/>
        <v>1190331.7008342051</v>
      </c>
      <c r="F35" s="2">
        <f t="shared" si="2"/>
        <v>431231.55091942474</v>
      </c>
      <c r="G35" s="2">
        <f t="shared" si="2"/>
        <v>363833.4338207132</v>
      </c>
      <c r="H35" s="2">
        <f t="shared" si="2"/>
        <v>419229.69989178661</v>
      </c>
    </row>
    <row r="36" spans="1:8" ht="15.75" customHeight="1" x14ac:dyDescent="0.15">
      <c r="A36" s="1" t="s">
        <v>7</v>
      </c>
      <c r="B36" s="1" t="s">
        <v>83</v>
      </c>
      <c r="C36" s="1" t="s">
        <v>47</v>
      </c>
    </row>
    <row r="37" spans="1:8" ht="15.75" customHeight="1" x14ac:dyDescent="0.15">
      <c r="A37" s="2">
        <f>STDEV(D4:D33)</f>
        <v>2093890.233520312</v>
      </c>
      <c r="B37" s="2">
        <f>AVERAGE(D4:D33)</f>
        <v>36438187.333333336</v>
      </c>
      <c r="C37" s="2">
        <v>1</v>
      </c>
    </row>
    <row r="38" spans="1:8" ht="15.75" customHeight="1" x14ac:dyDescent="0.15">
      <c r="A38" s="2">
        <f>STDEV(E4:E33)</f>
        <v>1190331.7008342051</v>
      </c>
      <c r="B38" s="2">
        <f>AVERAGE(E4:E33)</f>
        <v>18500623.899999999</v>
      </c>
      <c r="C38" s="2">
        <v>2</v>
      </c>
    </row>
    <row r="39" spans="1:8" ht="15.75" customHeight="1" x14ac:dyDescent="0.15">
      <c r="A39" s="2">
        <f>STDEV(F4:F33)</f>
        <v>431231.55091942474</v>
      </c>
      <c r="B39" s="2">
        <f>AVERAGE(F4:F33)</f>
        <v>9069271.8000000007</v>
      </c>
      <c r="C39" s="2">
        <v>4</v>
      </c>
    </row>
    <row r="40" spans="1:8" ht="15.75" customHeight="1" x14ac:dyDescent="0.15">
      <c r="A40" s="2">
        <f>STDEV(G4:G33)</f>
        <v>363833.4338207132</v>
      </c>
      <c r="B40" s="2">
        <f>AVERAGE(G4:G33)</f>
        <v>8615382.7666666675</v>
      </c>
      <c r="C40" s="2">
        <v>8</v>
      </c>
    </row>
    <row r="41" spans="1:8" ht="15.75" customHeight="1" x14ac:dyDescent="0.15">
      <c r="A41" s="2">
        <f>STDEV(H4:H33)</f>
        <v>419229.69989178661</v>
      </c>
      <c r="B41" s="2">
        <f>AVERAGE(H4:H33)</f>
        <v>8576592.7666666675</v>
      </c>
      <c r="C41" s="2">
        <v>12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3:H41"/>
  <sheetViews>
    <sheetView workbookViewId="0"/>
  </sheetViews>
  <sheetFormatPr baseColWidth="10" defaultColWidth="12.6640625" defaultRowHeight="15.75" customHeight="1" x14ac:dyDescent="0.15"/>
  <cols>
    <col min="1" max="1" width="17.33203125" customWidth="1"/>
    <col min="2" max="2" width="15.1640625" customWidth="1"/>
    <col min="3" max="3" width="18.6640625" customWidth="1"/>
    <col min="4" max="4" width="22.1640625" customWidth="1"/>
    <col min="5" max="5" width="21.6640625" customWidth="1"/>
    <col min="6" max="6" width="26.1640625" customWidth="1"/>
    <col min="7" max="7" width="25.1640625" customWidth="1"/>
    <col min="8" max="8" width="22.33203125" customWidth="1"/>
  </cols>
  <sheetData>
    <row r="3" spans="3:8" ht="15.75" customHeight="1" x14ac:dyDescent="0.15">
      <c r="C3" s="1"/>
      <c r="D3" s="1" t="s">
        <v>112</v>
      </c>
      <c r="E3" s="1" t="s">
        <v>113</v>
      </c>
      <c r="F3" s="1" t="s">
        <v>114</v>
      </c>
      <c r="G3" s="1" t="s">
        <v>115</v>
      </c>
      <c r="H3" s="1" t="s">
        <v>116</v>
      </c>
    </row>
    <row r="4" spans="3:8" ht="15.75" customHeight="1" x14ac:dyDescent="0.15">
      <c r="C4" s="2">
        <v>1</v>
      </c>
      <c r="D4" s="2">
        <v>181272</v>
      </c>
      <c r="E4" s="2">
        <v>99612</v>
      </c>
      <c r="F4" s="2">
        <v>57807</v>
      </c>
      <c r="G4" s="2">
        <v>47677</v>
      </c>
      <c r="H4" s="2">
        <v>54023</v>
      </c>
    </row>
    <row r="5" spans="3:8" ht="15.75" customHeight="1" x14ac:dyDescent="0.15">
      <c r="C5" s="2">
        <f t="shared" ref="C5:C33" si="0">C4+1</f>
        <v>2</v>
      </c>
      <c r="D5" s="2">
        <v>181091</v>
      </c>
      <c r="E5" s="2">
        <v>92438</v>
      </c>
      <c r="F5" s="2">
        <v>51608</v>
      </c>
      <c r="G5" s="2">
        <v>60455</v>
      </c>
      <c r="H5" s="2">
        <v>50695</v>
      </c>
    </row>
    <row r="6" spans="3:8" ht="15.75" customHeight="1" x14ac:dyDescent="0.15">
      <c r="C6" s="2">
        <f t="shared" si="0"/>
        <v>3</v>
      </c>
      <c r="D6" s="2">
        <v>139067</v>
      </c>
      <c r="E6" s="2">
        <v>92090</v>
      </c>
      <c r="F6" s="2">
        <v>52896</v>
      </c>
      <c r="G6" s="2">
        <v>48713</v>
      </c>
      <c r="H6" s="2">
        <v>47849</v>
      </c>
    </row>
    <row r="7" spans="3:8" ht="15.75" customHeight="1" x14ac:dyDescent="0.15">
      <c r="C7" s="2">
        <f t="shared" si="0"/>
        <v>4</v>
      </c>
      <c r="D7" s="2">
        <v>180555</v>
      </c>
      <c r="E7" s="2">
        <v>95681</v>
      </c>
      <c r="F7" s="2">
        <v>55498</v>
      </c>
      <c r="G7" s="2">
        <v>46189</v>
      </c>
      <c r="H7" s="2">
        <v>49956</v>
      </c>
    </row>
    <row r="8" spans="3:8" ht="15.75" customHeight="1" x14ac:dyDescent="0.15">
      <c r="C8" s="2">
        <f t="shared" si="0"/>
        <v>5</v>
      </c>
      <c r="D8" s="2">
        <v>180200</v>
      </c>
      <c r="E8" s="2">
        <v>95362</v>
      </c>
      <c r="F8" s="2">
        <v>50550</v>
      </c>
      <c r="G8" s="2">
        <v>47716</v>
      </c>
      <c r="H8" s="2">
        <v>51368</v>
      </c>
    </row>
    <row r="9" spans="3:8" ht="15.75" customHeight="1" x14ac:dyDescent="0.15">
      <c r="C9" s="2">
        <f t="shared" si="0"/>
        <v>6</v>
      </c>
      <c r="D9" s="2">
        <v>181943</v>
      </c>
      <c r="E9" s="2">
        <v>93229</v>
      </c>
      <c r="F9" s="2">
        <v>51913</v>
      </c>
      <c r="G9" s="2">
        <v>45418</v>
      </c>
      <c r="H9" s="2">
        <v>50180</v>
      </c>
    </row>
    <row r="10" spans="3:8" ht="15.75" customHeight="1" x14ac:dyDescent="0.15">
      <c r="C10" s="2">
        <f t="shared" si="0"/>
        <v>7</v>
      </c>
      <c r="D10" s="2">
        <v>184366</v>
      </c>
      <c r="E10" s="2">
        <v>98847</v>
      </c>
      <c r="F10" s="2">
        <v>51120</v>
      </c>
      <c r="G10" s="2">
        <v>45808</v>
      </c>
      <c r="H10" s="2">
        <v>50207</v>
      </c>
    </row>
    <row r="11" spans="3:8" ht="15.75" customHeight="1" x14ac:dyDescent="0.15">
      <c r="C11" s="2">
        <f t="shared" si="0"/>
        <v>8</v>
      </c>
      <c r="D11" s="2">
        <v>181163</v>
      </c>
      <c r="E11" s="2">
        <v>96739</v>
      </c>
      <c r="F11" s="2">
        <v>52352</v>
      </c>
      <c r="G11" s="2">
        <v>46033</v>
      </c>
      <c r="H11" s="2">
        <v>49611</v>
      </c>
    </row>
    <row r="12" spans="3:8" ht="15.75" customHeight="1" x14ac:dyDescent="0.15">
      <c r="C12" s="2">
        <f t="shared" si="0"/>
        <v>9</v>
      </c>
      <c r="D12" s="2">
        <v>181279</v>
      </c>
      <c r="E12" s="2">
        <v>91048</v>
      </c>
      <c r="F12" s="2">
        <v>49515</v>
      </c>
      <c r="G12" s="2">
        <v>47193</v>
      </c>
      <c r="H12" s="2">
        <v>49756</v>
      </c>
    </row>
    <row r="13" spans="3:8" ht="15.75" customHeight="1" x14ac:dyDescent="0.15">
      <c r="C13" s="2">
        <f t="shared" si="0"/>
        <v>10</v>
      </c>
      <c r="D13" s="2">
        <v>183349</v>
      </c>
      <c r="E13" s="2">
        <v>90926</v>
      </c>
      <c r="F13" s="2">
        <v>47220</v>
      </c>
      <c r="G13" s="2">
        <v>47739</v>
      </c>
      <c r="H13" s="2">
        <v>45622</v>
      </c>
    </row>
    <row r="14" spans="3:8" ht="15.75" customHeight="1" x14ac:dyDescent="0.15">
      <c r="C14" s="2">
        <f t="shared" si="0"/>
        <v>11</v>
      </c>
      <c r="D14" s="2">
        <v>183079</v>
      </c>
      <c r="E14" s="2">
        <v>94922</v>
      </c>
      <c r="F14" s="2">
        <v>51448</v>
      </c>
      <c r="G14" s="2">
        <v>49850</v>
      </c>
      <c r="H14" s="2">
        <v>51641</v>
      </c>
    </row>
    <row r="15" spans="3:8" ht="15.75" customHeight="1" x14ac:dyDescent="0.15">
      <c r="C15" s="2">
        <f t="shared" si="0"/>
        <v>12</v>
      </c>
      <c r="D15" s="2">
        <v>190592</v>
      </c>
      <c r="E15" s="2">
        <v>97374</v>
      </c>
      <c r="F15" s="2">
        <v>46830</v>
      </c>
      <c r="G15" s="2">
        <v>49002</v>
      </c>
      <c r="H15" s="2">
        <v>46550</v>
      </c>
    </row>
    <row r="16" spans="3:8" ht="15.75" customHeight="1" x14ac:dyDescent="0.15">
      <c r="C16" s="2">
        <f t="shared" si="0"/>
        <v>13</v>
      </c>
      <c r="D16" s="2">
        <v>181638</v>
      </c>
      <c r="E16" s="2">
        <v>93563</v>
      </c>
      <c r="F16" s="2">
        <v>47468</v>
      </c>
      <c r="G16" s="2">
        <v>50189</v>
      </c>
      <c r="H16" s="2">
        <v>44397</v>
      </c>
    </row>
    <row r="17" spans="3:8" ht="15.75" customHeight="1" x14ac:dyDescent="0.15">
      <c r="C17" s="2">
        <f t="shared" si="0"/>
        <v>14</v>
      </c>
      <c r="D17" s="2">
        <v>180410</v>
      </c>
      <c r="E17" s="2">
        <v>92916</v>
      </c>
      <c r="F17" s="2">
        <v>48255</v>
      </c>
      <c r="G17" s="2">
        <v>56205</v>
      </c>
      <c r="H17" s="2">
        <v>46940</v>
      </c>
    </row>
    <row r="18" spans="3:8" ht="15.75" customHeight="1" x14ac:dyDescent="0.15">
      <c r="C18" s="2">
        <f t="shared" si="0"/>
        <v>15</v>
      </c>
      <c r="D18" s="2">
        <v>183010</v>
      </c>
      <c r="E18" s="2">
        <v>104059</v>
      </c>
      <c r="F18" s="2">
        <v>52089</v>
      </c>
      <c r="G18" s="2">
        <v>49805</v>
      </c>
      <c r="H18" s="2">
        <v>44855</v>
      </c>
    </row>
    <row r="19" spans="3:8" ht="15.75" customHeight="1" x14ac:dyDescent="0.15">
      <c r="C19" s="2">
        <f t="shared" si="0"/>
        <v>16</v>
      </c>
      <c r="D19" s="2">
        <v>180165</v>
      </c>
      <c r="E19" s="2">
        <v>95323</v>
      </c>
      <c r="F19" s="2">
        <v>48037</v>
      </c>
      <c r="G19" s="2">
        <v>49600</v>
      </c>
      <c r="H19" s="2">
        <v>50178</v>
      </c>
    </row>
    <row r="20" spans="3:8" ht="15.75" customHeight="1" x14ac:dyDescent="0.15">
      <c r="C20" s="2">
        <f t="shared" si="0"/>
        <v>17</v>
      </c>
      <c r="D20" s="2">
        <v>184669</v>
      </c>
      <c r="E20" s="2">
        <v>92764</v>
      </c>
      <c r="F20" s="2">
        <v>47277</v>
      </c>
      <c r="G20" s="2">
        <v>50756</v>
      </c>
      <c r="H20" s="2">
        <v>47673</v>
      </c>
    </row>
    <row r="21" spans="3:8" ht="15.75" customHeight="1" x14ac:dyDescent="0.15">
      <c r="C21" s="2">
        <f t="shared" si="0"/>
        <v>18</v>
      </c>
      <c r="D21" s="2">
        <v>183594</v>
      </c>
      <c r="E21" s="2">
        <v>96999</v>
      </c>
      <c r="F21" s="2">
        <v>49906</v>
      </c>
      <c r="G21" s="2">
        <v>49332</v>
      </c>
      <c r="H21" s="2">
        <v>54015</v>
      </c>
    </row>
    <row r="22" spans="3:8" ht="15.75" customHeight="1" x14ac:dyDescent="0.15">
      <c r="C22" s="2">
        <f t="shared" si="0"/>
        <v>19</v>
      </c>
      <c r="D22" s="2">
        <v>188563</v>
      </c>
      <c r="E22" s="2">
        <v>96853</v>
      </c>
      <c r="F22" s="2">
        <v>50468</v>
      </c>
      <c r="G22" s="2">
        <v>53135</v>
      </c>
      <c r="H22" s="2">
        <v>51615</v>
      </c>
    </row>
    <row r="23" spans="3:8" ht="15.75" customHeight="1" x14ac:dyDescent="0.15">
      <c r="C23" s="2">
        <f t="shared" si="0"/>
        <v>20</v>
      </c>
      <c r="D23" s="2">
        <v>182656</v>
      </c>
      <c r="E23" s="2">
        <v>92564</v>
      </c>
      <c r="F23" s="2">
        <v>55991</v>
      </c>
      <c r="G23" s="2">
        <v>49646</v>
      </c>
      <c r="H23" s="2">
        <v>50845</v>
      </c>
    </row>
    <row r="24" spans="3:8" ht="15.75" customHeight="1" x14ac:dyDescent="0.15">
      <c r="C24" s="2">
        <f t="shared" si="0"/>
        <v>21</v>
      </c>
      <c r="D24" s="2">
        <v>182609</v>
      </c>
      <c r="E24" s="2">
        <v>97265</v>
      </c>
      <c r="F24" s="2">
        <v>55399</v>
      </c>
      <c r="G24" s="2">
        <v>46002</v>
      </c>
      <c r="H24" s="2">
        <v>49811</v>
      </c>
    </row>
    <row r="25" spans="3:8" ht="15.75" customHeight="1" x14ac:dyDescent="0.15">
      <c r="C25" s="2">
        <f t="shared" si="0"/>
        <v>22</v>
      </c>
      <c r="D25" s="2">
        <v>181398</v>
      </c>
      <c r="E25" s="2">
        <v>97304</v>
      </c>
      <c r="F25" s="2">
        <v>51682</v>
      </c>
      <c r="G25" s="2">
        <v>48084</v>
      </c>
      <c r="H25" s="2">
        <v>46791</v>
      </c>
    </row>
    <row r="26" spans="3:8" ht="15.75" customHeight="1" x14ac:dyDescent="0.15">
      <c r="C26" s="2">
        <f t="shared" si="0"/>
        <v>23</v>
      </c>
      <c r="D26" s="2">
        <v>181704</v>
      </c>
      <c r="E26" s="2">
        <v>97206</v>
      </c>
      <c r="F26" s="2">
        <v>54376</v>
      </c>
      <c r="G26" s="2">
        <v>46228</v>
      </c>
      <c r="H26" s="2">
        <v>46892</v>
      </c>
    </row>
    <row r="27" spans="3:8" ht="15.75" customHeight="1" x14ac:dyDescent="0.15">
      <c r="C27" s="2">
        <f t="shared" si="0"/>
        <v>24</v>
      </c>
      <c r="D27" s="2">
        <v>179190</v>
      </c>
      <c r="E27" s="2">
        <v>95515</v>
      </c>
      <c r="F27" s="2">
        <v>47953</v>
      </c>
      <c r="G27" s="2">
        <v>52478</v>
      </c>
      <c r="H27" s="2">
        <v>52269</v>
      </c>
    </row>
    <row r="28" spans="3:8" ht="15.75" customHeight="1" x14ac:dyDescent="0.15">
      <c r="C28" s="2">
        <f t="shared" si="0"/>
        <v>25</v>
      </c>
      <c r="D28" s="2">
        <v>183821</v>
      </c>
      <c r="E28" s="2">
        <v>94974</v>
      </c>
      <c r="F28" s="2">
        <v>48539</v>
      </c>
      <c r="G28" s="2">
        <v>48846</v>
      </c>
      <c r="H28" s="2">
        <v>48895</v>
      </c>
    </row>
    <row r="29" spans="3:8" ht="15.75" customHeight="1" x14ac:dyDescent="0.15">
      <c r="C29" s="2">
        <f t="shared" si="0"/>
        <v>26</v>
      </c>
      <c r="D29" s="2">
        <v>192771</v>
      </c>
      <c r="E29" s="2">
        <v>98210</v>
      </c>
      <c r="F29" s="2">
        <v>50559</v>
      </c>
      <c r="G29" s="2">
        <v>54117</v>
      </c>
      <c r="H29" s="2">
        <v>46645</v>
      </c>
    </row>
    <row r="30" spans="3:8" ht="15.75" customHeight="1" x14ac:dyDescent="0.15">
      <c r="C30" s="2">
        <f t="shared" si="0"/>
        <v>27</v>
      </c>
      <c r="D30" s="2">
        <v>181984</v>
      </c>
      <c r="E30" s="2">
        <v>92295</v>
      </c>
      <c r="F30" s="2">
        <v>52328</v>
      </c>
      <c r="G30" s="2">
        <v>48267</v>
      </c>
      <c r="H30" s="2">
        <v>52734</v>
      </c>
    </row>
    <row r="31" spans="3:8" ht="15.75" customHeight="1" x14ac:dyDescent="0.15">
      <c r="C31" s="2">
        <f t="shared" si="0"/>
        <v>28</v>
      </c>
      <c r="D31" s="2">
        <v>179461</v>
      </c>
      <c r="E31" s="2">
        <v>91742</v>
      </c>
      <c r="F31" s="2">
        <v>50530</v>
      </c>
      <c r="G31" s="2">
        <v>46519</v>
      </c>
      <c r="H31" s="2">
        <v>43360</v>
      </c>
    </row>
    <row r="32" spans="3:8" ht="15.75" customHeight="1" x14ac:dyDescent="0.15">
      <c r="C32" s="2">
        <f t="shared" si="0"/>
        <v>29</v>
      </c>
      <c r="D32" s="2">
        <v>180304</v>
      </c>
      <c r="E32" s="2">
        <v>97072</v>
      </c>
      <c r="F32" s="2">
        <v>51052</v>
      </c>
      <c r="G32" s="2">
        <v>51064</v>
      </c>
      <c r="H32" s="2">
        <v>46145</v>
      </c>
    </row>
    <row r="33" spans="1:8" ht="15.75" customHeight="1" x14ac:dyDescent="0.15">
      <c r="C33" s="2">
        <f t="shared" si="0"/>
        <v>30</v>
      </c>
      <c r="D33" s="2">
        <v>191958</v>
      </c>
      <c r="E33" s="2">
        <v>95897</v>
      </c>
      <c r="F33" s="2">
        <v>47012</v>
      </c>
      <c r="G33" s="2">
        <v>55195</v>
      </c>
      <c r="H33" s="2">
        <v>48440</v>
      </c>
    </row>
    <row r="34" spans="1:8" ht="15.75" customHeight="1" x14ac:dyDescent="0.15">
      <c r="C34" s="1" t="s">
        <v>15</v>
      </c>
      <c r="D34" s="2">
        <f t="shared" ref="D34:H34" si="1">AVERAGE(D4:D33)</f>
        <v>181595.36666666667</v>
      </c>
      <c r="E34" s="2">
        <f t="shared" si="1"/>
        <v>95359.633333333331</v>
      </c>
      <c r="F34" s="2">
        <f t="shared" si="1"/>
        <v>50922.6</v>
      </c>
      <c r="G34" s="2">
        <f t="shared" si="1"/>
        <v>49575.366666666669</v>
      </c>
      <c r="H34" s="2">
        <f t="shared" si="1"/>
        <v>48998.6</v>
      </c>
    </row>
    <row r="35" spans="1:8" ht="15.75" customHeight="1" x14ac:dyDescent="0.15">
      <c r="C35" s="1" t="s">
        <v>16</v>
      </c>
      <c r="D35" s="2">
        <f t="shared" ref="D35:H35" si="2">STDEV(D4:D33)</f>
        <v>8759.9985572480855</v>
      </c>
      <c r="E35" s="2">
        <f t="shared" si="2"/>
        <v>2922.4494743083337</v>
      </c>
      <c r="F35" s="2">
        <f t="shared" si="2"/>
        <v>2889.814844325283</v>
      </c>
      <c r="G35" s="2">
        <f t="shared" si="2"/>
        <v>3475.3219794602537</v>
      </c>
      <c r="H35" s="2">
        <f t="shared" si="2"/>
        <v>2789.9252690523008</v>
      </c>
    </row>
    <row r="36" spans="1:8" ht="15.75" customHeight="1" x14ac:dyDescent="0.15">
      <c r="A36" s="1" t="s">
        <v>7</v>
      </c>
      <c r="B36" s="1" t="s">
        <v>83</v>
      </c>
      <c r="C36" s="1" t="s">
        <v>47</v>
      </c>
    </row>
    <row r="37" spans="1:8" ht="15.75" customHeight="1" x14ac:dyDescent="0.15">
      <c r="A37" s="2">
        <f>STDEV(D4:D33)</f>
        <v>8759.9985572480855</v>
      </c>
      <c r="B37" s="2">
        <f>AVERAGE(D4:D33)</f>
        <v>181595.36666666667</v>
      </c>
      <c r="C37" s="2">
        <v>1</v>
      </c>
    </row>
    <row r="38" spans="1:8" ht="15.75" customHeight="1" x14ac:dyDescent="0.15">
      <c r="A38" s="2">
        <f>STDEV(E4:E33)</f>
        <v>2922.4494743083337</v>
      </c>
      <c r="B38" s="2">
        <f>AVERAGE(E4:E33)</f>
        <v>95359.633333333331</v>
      </c>
      <c r="C38" s="2">
        <v>2</v>
      </c>
    </row>
    <row r="39" spans="1:8" ht="15.75" customHeight="1" x14ac:dyDescent="0.15">
      <c r="A39" s="2">
        <f>STDEV(F4:F33)</f>
        <v>2889.814844325283</v>
      </c>
      <c r="B39" s="2">
        <f>AVERAGE(F4:F33)</f>
        <v>50922.6</v>
      </c>
      <c r="C39" s="2">
        <v>4</v>
      </c>
    </row>
    <row r="40" spans="1:8" ht="15.75" customHeight="1" x14ac:dyDescent="0.15">
      <c r="A40" s="2">
        <f>STDEV(G4:G33)</f>
        <v>3475.3219794602537</v>
      </c>
      <c r="B40" s="2">
        <f>AVERAGE(G4:G33)</f>
        <v>49575.366666666669</v>
      </c>
      <c r="C40" s="2">
        <v>8</v>
      </c>
    </row>
    <row r="41" spans="1:8" ht="15.75" customHeight="1" x14ac:dyDescent="0.15">
      <c r="A41" s="2">
        <f>STDEV(H4:H33)</f>
        <v>2789.9252690523008</v>
      </c>
      <c r="B41" s="2">
        <f>AVERAGE(H4:H33)</f>
        <v>48998.6</v>
      </c>
      <c r="C41" s="2">
        <v>12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2:H41"/>
  <sheetViews>
    <sheetView workbookViewId="0"/>
  </sheetViews>
  <sheetFormatPr baseColWidth="10" defaultColWidth="12.6640625" defaultRowHeight="15.75" customHeight="1" x14ac:dyDescent="0.15"/>
  <cols>
    <col min="1" max="1" width="15.6640625" customWidth="1"/>
    <col min="2" max="2" width="15.33203125" customWidth="1"/>
    <col min="4" max="4" width="22.6640625" customWidth="1"/>
    <col min="5" max="5" width="19.6640625" customWidth="1"/>
    <col min="6" max="6" width="20.83203125" customWidth="1"/>
    <col min="7" max="7" width="19.83203125" customWidth="1"/>
    <col min="8" max="8" width="20.5" customWidth="1"/>
  </cols>
  <sheetData>
    <row r="2" spans="3:8" ht="15.75" customHeight="1" x14ac:dyDescent="0.15">
      <c r="C2" s="1"/>
      <c r="D2" s="1" t="s">
        <v>117</v>
      </c>
      <c r="E2" s="1" t="s">
        <v>118</v>
      </c>
      <c r="F2" s="1" t="s">
        <v>119</v>
      </c>
      <c r="G2" s="1" t="s">
        <v>120</v>
      </c>
      <c r="H2" s="1" t="s">
        <v>121</v>
      </c>
    </row>
    <row r="3" spans="3:8" ht="15.75" customHeight="1" x14ac:dyDescent="0.15">
      <c r="C3" s="2">
        <v>1</v>
      </c>
      <c r="D3" s="2">
        <v>505900</v>
      </c>
      <c r="E3" s="2">
        <v>259158</v>
      </c>
      <c r="F3" s="2">
        <v>143172</v>
      </c>
      <c r="G3" s="2">
        <v>137764</v>
      </c>
      <c r="H3" s="2">
        <v>140502</v>
      </c>
    </row>
    <row r="4" spans="3:8" ht="15.75" customHeight="1" x14ac:dyDescent="0.15">
      <c r="C4" s="2">
        <f t="shared" ref="C4:C32" si="0">C3+1</f>
        <v>2</v>
      </c>
      <c r="D4" s="2">
        <v>526385</v>
      </c>
      <c r="E4" s="2">
        <v>254216</v>
      </c>
      <c r="F4" s="2">
        <v>130487</v>
      </c>
      <c r="G4" s="2">
        <v>137277</v>
      </c>
      <c r="H4" s="2">
        <v>132939</v>
      </c>
    </row>
    <row r="5" spans="3:8" ht="15.75" customHeight="1" x14ac:dyDescent="0.15">
      <c r="C5" s="2">
        <f t="shared" si="0"/>
        <v>3</v>
      </c>
      <c r="D5" s="2">
        <v>506996</v>
      </c>
      <c r="E5" s="2">
        <v>260264</v>
      </c>
      <c r="F5" s="2">
        <v>131910</v>
      </c>
      <c r="G5" s="2">
        <v>137392</v>
      </c>
      <c r="H5" s="2">
        <v>135747</v>
      </c>
    </row>
    <row r="6" spans="3:8" ht="15.75" customHeight="1" x14ac:dyDescent="0.15">
      <c r="C6" s="2">
        <f t="shared" si="0"/>
        <v>4</v>
      </c>
      <c r="D6" s="2">
        <v>507986</v>
      </c>
      <c r="E6" s="2">
        <v>258220</v>
      </c>
      <c r="F6" s="2">
        <v>132595</v>
      </c>
      <c r="G6" s="2">
        <v>129303</v>
      </c>
      <c r="H6" s="2">
        <v>135838</v>
      </c>
    </row>
    <row r="7" spans="3:8" ht="15.75" customHeight="1" x14ac:dyDescent="0.15">
      <c r="C7" s="2">
        <f t="shared" si="0"/>
        <v>5</v>
      </c>
      <c r="D7" s="2">
        <v>517953</v>
      </c>
      <c r="E7" s="2">
        <v>259871</v>
      </c>
      <c r="F7" s="2">
        <v>132591</v>
      </c>
      <c r="G7" s="2">
        <v>133702</v>
      </c>
      <c r="H7" s="2">
        <v>138771</v>
      </c>
    </row>
    <row r="8" spans="3:8" ht="15.75" customHeight="1" x14ac:dyDescent="0.15">
      <c r="C8" s="2">
        <f t="shared" si="0"/>
        <v>6</v>
      </c>
      <c r="D8" s="2">
        <v>507538</v>
      </c>
      <c r="E8" s="2">
        <v>262130</v>
      </c>
      <c r="F8" s="2">
        <v>136727</v>
      </c>
      <c r="G8" s="2">
        <v>132751</v>
      </c>
      <c r="H8" s="2">
        <v>134997</v>
      </c>
    </row>
    <row r="9" spans="3:8" ht="15.75" customHeight="1" x14ac:dyDescent="0.15">
      <c r="C9" s="2">
        <f t="shared" si="0"/>
        <v>7</v>
      </c>
      <c r="D9" s="2">
        <v>506485</v>
      </c>
      <c r="E9" s="2">
        <v>258626</v>
      </c>
      <c r="F9" s="2">
        <v>136023</v>
      </c>
      <c r="G9" s="2">
        <v>139922</v>
      </c>
      <c r="H9" s="2">
        <v>133341</v>
      </c>
    </row>
    <row r="10" spans="3:8" ht="15.75" customHeight="1" x14ac:dyDescent="0.15">
      <c r="C10" s="2">
        <f t="shared" si="0"/>
        <v>8</v>
      </c>
      <c r="D10" s="2">
        <v>507171</v>
      </c>
      <c r="E10" s="2">
        <v>260451</v>
      </c>
      <c r="F10" s="2">
        <v>134260</v>
      </c>
      <c r="G10" s="2">
        <v>131856</v>
      </c>
      <c r="H10" s="2">
        <v>125255</v>
      </c>
    </row>
    <row r="11" spans="3:8" ht="15.75" customHeight="1" x14ac:dyDescent="0.15">
      <c r="C11" s="2">
        <f t="shared" si="0"/>
        <v>9</v>
      </c>
      <c r="D11" s="2">
        <v>517308</v>
      </c>
      <c r="E11" s="2">
        <v>262643</v>
      </c>
      <c r="F11" s="2">
        <v>132043</v>
      </c>
      <c r="G11" s="2">
        <v>126001</v>
      </c>
      <c r="H11" s="2">
        <v>125812</v>
      </c>
    </row>
    <row r="12" spans="3:8" ht="15.75" customHeight="1" x14ac:dyDescent="0.15">
      <c r="C12" s="2">
        <f t="shared" si="0"/>
        <v>10</v>
      </c>
      <c r="D12" s="2">
        <v>514671</v>
      </c>
      <c r="E12" s="2">
        <v>266064</v>
      </c>
      <c r="F12" s="2">
        <v>138822</v>
      </c>
      <c r="G12" s="2">
        <v>138664</v>
      </c>
      <c r="H12" s="2">
        <v>134437</v>
      </c>
    </row>
    <row r="13" spans="3:8" ht="15.75" customHeight="1" x14ac:dyDescent="0.15">
      <c r="C13" s="2">
        <f t="shared" si="0"/>
        <v>11</v>
      </c>
      <c r="D13" s="2">
        <v>507474</v>
      </c>
      <c r="E13" s="2">
        <v>259976</v>
      </c>
      <c r="F13" s="2">
        <v>132785</v>
      </c>
      <c r="G13" s="2">
        <v>131384</v>
      </c>
      <c r="H13" s="2">
        <v>133965</v>
      </c>
    </row>
    <row r="14" spans="3:8" ht="15.75" customHeight="1" x14ac:dyDescent="0.15">
      <c r="C14" s="2">
        <f t="shared" si="0"/>
        <v>12</v>
      </c>
      <c r="D14" s="2">
        <v>389206</v>
      </c>
      <c r="E14" s="2">
        <v>262385</v>
      </c>
      <c r="F14" s="2">
        <v>137957</v>
      </c>
      <c r="G14" s="2">
        <v>130989</v>
      </c>
      <c r="H14" s="2">
        <v>128011</v>
      </c>
    </row>
    <row r="15" spans="3:8" ht="15.75" customHeight="1" x14ac:dyDescent="0.15">
      <c r="C15" s="2">
        <f t="shared" si="0"/>
        <v>13</v>
      </c>
      <c r="D15" s="2">
        <v>388371</v>
      </c>
      <c r="E15" s="2">
        <v>263101</v>
      </c>
      <c r="F15" s="2">
        <v>133736</v>
      </c>
      <c r="G15" s="2">
        <v>133455</v>
      </c>
      <c r="H15" s="2">
        <v>134044</v>
      </c>
    </row>
    <row r="16" spans="3:8" ht="15.75" customHeight="1" x14ac:dyDescent="0.15">
      <c r="C16" s="2">
        <f t="shared" si="0"/>
        <v>14</v>
      </c>
      <c r="D16" s="2">
        <v>511147</v>
      </c>
      <c r="E16" s="2">
        <v>262549</v>
      </c>
      <c r="F16" s="2">
        <v>130224</v>
      </c>
      <c r="G16" s="2">
        <v>138088</v>
      </c>
      <c r="H16" s="2">
        <v>134999</v>
      </c>
    </row>
    <row r="17" spans="3:8" ht="15.75" customHeight="1" x14ac:dyDescent="0.15">
      <c r="C17" s="2">
        <f t="shared" si="0"/>
        <v>15</v>
      </c>
      <c r="D17" s="2">
        <v>505761</v>
      </c>
      <c r="E17" s="2">
        <v>256054</v>
      </c>
      <c r="F17" s="2">
        <v>154119</v>
      </c>
      <c r="G17" s="2">
        <v>136792</v>
      </c>
      <c r="H17" s="2">
        <v>134295</v>
      </c>
    </row>
    <row r="18" spans="3:8" ht="15.75" customHeight="1" x14ac:dyDescent="0.15">
      <c r="C18" s="2">
        <f t="shared" si="0"/>
        <v>16</v>
      </c>
      <c r="D18" s="2">
        <v>392491</v>
      </c>
      <c r="E18" s="2">
        <v>256948</v>
      </c>
      <c r="F18" s="2">
        <v>135335</v>
      </c>
      <c r="G18" s="2">
        <v>133584</v>
      </c>
      <c r="H18" s="2">
        <v>135410</v>
      </c>
    </row>
    <row r="19" spans="3:8" ht="15.75" customHeight="1" x14ac:dyDescent="0.15">
      <c r="C19" s="2">
        <f t="shared" si="0"/>
        <v>17</v>
      </c>
      <c r="D19" s="2">
        <v>397648</v>
      </c>
      <c r="E19" s="2">
        <v>260179</v>
      </c>
      <c r="F19" s="2">
        <v>136350</v>
      </c>
      <c r="G19" s="2">
        <v>134335</v>
      </c>
      <c r="H19" s="2">
        <v>133777</v>
      </c>
    </row>
    <row r="20" spans="3:8" ht="15.75" customHeight="1" x14ac:dyDescent="0.15">
      <c r="C20" s="2">
        <f t="shared" si="0"/>
        <v>18</v>
      </c>
      <c r="D20" s="2">
        <v>518743</v>
      </c>
      <c r="E20" s="2">
        <v>262121</v>
      </c>
      <c r="F20" s="2">
        <v>137493</v>
      </c>
      <c r="G20" s="2">
        <v>139673</v>
      </c>
      <c r="H20" s="2">
        <v>135299</v>
      </c>
    </row>
    <row r="21" spans="3:8" ht="15.75" customHeight="1" x14ac:dyDescent="0.15">
      <c r="C21" s="2">
        <f t="shared" si="0"/>
        <v>19</v>
      </c>
      <c r="D21" s="2">
        <v>522709</v>
      </c>
      <c r="E21" s="2">
        <v>259848</v>
      </c>
      <c r="F21" s="2">
        <v>136878</v>
      </c>
      <c r="G21" s="2">
        <v>124431</v>
      </c>
      <c r="H21" s="2">
        <v>129161</v>
      </c>
    </row>
    <row r="22" spans="3:8" ht="15.75" customHeight="1" x14ac:dyDescent="0.15">
      <c r="C22" s="2">
        <f t="shared" si="0"/>
        <v>20</v>
      </c>
      <c r="D22" s="2">
        <v>518240</v>
      </c>
      <c r="E22" s="2">
        <v>260763</v>
      </c>
      <c r="F22" s="2">
        <v>131787</v>
      </c>
      <c r="G22" s="2">
        <v>130147</v>
      </c>
      <c r="H22" s="2">
        <v>126719</v>
      </c>
    </row>
    <row r="23" spans="3:8" ht="15.75" customHeight="1" x14ac:dyDescent="0.15">
      <c r="C23" s="2">
        <f t="shared" si="0"/>
        <v>21</v>
      </c>
      <c r="D23" s="2">
        <v>508361</v>
      </c>
      <c r="E23" s="2">
        <v>258307</v>
      </c>
      <c r="F23" s="2">
        <v>138942</v>
      </c>
      <c r="G23" s="2">
        <v>135231</v>
      </c>
      <c r="H23" s="2">
        <v>132849</v>
      </c>
    </row>
    <row r="24" spans="3:8" ht="15.75" customHeight="1" x14ac:dyDescent="0.15">
      <c r="C24" s="2">
        <f t="shared" si="0"/>
        <v>22</v>
      </c>
      <c r="D24" s="2">
        <v>506522</v>
      </c>
      <c r="E24" s="2">
        <v>259839</v>
      </c>
      <c r="F24" s="2">
        <v>134625</v>
      </c>
      <c r="G24" s="2">
        <v>134417</v>
      </c>
      <c r="H24" s="2">
        <v>127696</v>
      </c>
    </row>
    <row r="25" spans="3:8" ht="15.75" customHeight="1" x14ac:dyDescent="0.15">
      <c r="C25" s="2">
        <f t="shared" si="0"/>
        <v>23</v>
      </c>
      <c r="D25" s="2">
        <v>527358</v>
      </c>
      <c r="E25" s="2">
        <v>262569</v>
      </c>
      <c r="F25" s="2">
        <v>133347</v>
      </c>
      <c r="G25" s="2">
        <v>137563</v>
      </c>
      <c r="H25" s="2">
        <v>110865</v>
      </c>
    </row>
    <row r="26" spans="3:8" ht="15.75" customHeight="1" x14ac:dyDescent="0.15">
      <c r="C26" s="2">
        <f t="shared" si="0"/>
        <v>24</v>
      </c>
      <c r="D26" s="2">
        <v>510260</v>
      </c>
      <c r="E26" s="2">
        <v>252442</v>
      </c>
      <c r="F26" s="2">
        <v>138926</v>
      </c>
      <c r="G26" s="2">
        <v>132483</v>
      </c>
      <c r="H26" s="2">
        <v>120430</v>
      </c>
    </row>
    <row r="27" spans="3:8" ht="15.75" customHeight="1" x14ac:dyDescent="0.15">
      <c r="C27" s="2">
        <f t="shared" si="0"/>
        <v>25</v>
      </c>
      <c r="D27" s="2">
        <v>510541</v>
      </c>
      <c r="E27" s="2">
        <v>263281</v>
      </c>
      <c r="F27" s="2">
        <v>134047</v>
      </c>
      <c r="G27" s="2">
        <v>134698</v>
      </c>
      <c r="H27" s="2">
        <v>125772</v>
      </c>
    </row>
    <row r="28" spans="3:8" ht="15.75" customHeight="1" x14ac:dyDescent="0.15">
      <c r="C28" s="2">
        <f t="shared" si="0"/>
        <v>26</v>
      </c>
      <c r="D28" s="2">
        <v>523129</v>
      </c>
      <c r="E28" s="2">
        <v>257462</v>
      </c>
      <c r="F28" s="2">
        <v>132566</v>
      </c>
      <c r="G28" s="2">
        <v>136113</v>
      </c>
      <c r="H28" s="2">
        <v>132200</v>
      </c>
    </row>
    <row r="29" spans="3:8" ht="15.75" customHeight="1" x14ac:dyDescent="0.15">
      <c r="C29" s="2">
        <f t="shared" si="0"/>
        <v>27</v>
      </c>
      <c r="D29" s="2">
        <v>512515</v>
      </c>
      <c r="E29" s="2">
        <v>255930</v>
      </c>
      <c r="F29" s="2">
        <v>136274</v>
      </c>
      <c r="G29" s="2">
        <v>140229</v>
      </c>
      <c r="H29" s="2">
        <v>119029</v>
      </c>
    </row>
    <row r="30" spans="3:8" ht="15.75" customHeight="1" x14ac:dyDescent="0.15">
      <c r="C30" s="2">
        <f t="shared" si="0"/>
        <v>28</v>
      </c>
      <c r="D30" s="2">
        <v>508487</v>
      </c>
      <c r="E30" s="2">
        <v>261982</v>
      </c>
      <c r="F30" s="2">
        <v>136829</v>
      </c>
      <c r="G30" s="2">
        <v>131481</v>
      </c>
      <c r="H30" s="2">
        <v>121583</v>
      </c>
    </row>
    <row r="31" spans="3:8" ht="15.75" customHeight="1" x14ac:dyDescent="0.15">
      <c r="C31" s="2">
        <f t="shared" si="0"/>
        <v>29</v>
      </c>
      <c r="D31" s="2">
        <v>506635</v>
      </c>
      <c r="E31" s="2">
        <v>260606</v>
      </c>
      <c r="F31" s="2">
        <v>133990</v>
      </c>
      <c r="G31" s="2">
        <v>135031</v>
      </c>
      <c r="H31" s="2">
        <v>131748</v>
      </c>
    </row>
    <row r="32" spans="3:8" ht="15.75" customHeight="1" x14ac:dyDescent="0.15">
      <c r="C32" s="2">
        <f t="shared" si="0"/>
        <v>30</v>
      </c>
      <c r="D32" s="2">
        <v>519828</v>
      </c>
      <c r="E32" s="2">
        <v>262807</v>
      </c>
      <c r="F32" s="2">
        <v>136766</v>
      </c>
      <c r="G32" s="2">
        <v>136146</v>
      </c>
      <c r="H32" s="2">
        <v>134586</v>
      </c>
    </row>
    <row r="33" spans="1:8" ht="15.75" customHeight="1" x14ac:dyDescent="0.15">
      <c r="C33" s="1" t="s">
        <v>15</v>
      </c>
      <c r="D33" s="2">
        <f t="shared" ref="D33:H33" si="1">AVERAGE(D3:D32)</f>
        <v>496793.96666666667</v>
      </c>
      <c r="E33" s="2">
        <f t="shared" si="1"/>
        <v>260026.4</v>
      </c>
      <c r="F33" s="2">
        <f t="shared" si="1"/>
        <v>135720.20000000001</v>
      </c>
      <c r="G33" s="2">
        <f t="shared" si="1"/>
        <v>134363.4</v>
      </c>
      <c r="H33" s="2">
        <f t="shared" si="1"/>
        <v>130669.23333333334</v>
      </c>
    </row>
    <row r="34" spans="1:8" ht="15.75" customHeight="1" x14ac:dyDescent="0.15">
      <c r="C34" s="1" t="s">
        <v>16</v>
      </c>
      <c r="D34" s="2">
        <f t="shared" ref="D34:H34" si="2">STDEV(D3:D32)</f>
        <v>42338.650338043684</v>
      </c>
      <c r="E34" s="2">
        <f t="shared" si="2"/>
        <v>2948.8078081921808</v>
      </c>
      <c r="F34" s="2">
        <f t="shared" si="2"/>
        <v>4533.4445106380736</v>
      </c>
      <c r="G34" s="2">
        <f t="shared" si="2"/>
        <v>3866.7877749563299</v>
      </c>
      <c r="H34" s="2">
        <f t="shared" si="2"/>
        <v>6478.421011770316</v>
      </c>
    </row>
    <row r="36" spans="1:8" ht="15.75" customHeight="1" x14ac:dyDescent="0.15">
      <c r="A36" s="1" t="s">
        <v>7</v>
      </c>
      <c r="B36" s="1" t="s">
        <v>83</v>
      </c>
      <c r="C36" s="1" t="s">
        <v>47</v>
      </c>
    </row>
    <row r="37" spans="1:8" ht="15.75" customHeight="1" x14ac:dyDescent="0.15">
      <c r="A37" s="2">
        <f>STDEV(D3:D32)</f>
        <v>42338.650338043684</v>
      </c>
      <c r="B37" s="2">
        <f>AVERAGE(D3:D32)</f>
        <v>496793.96666666667</v>
      </c>
      <c r="C37" s="2">
        <v>1</v>
      </c>
    </row>
    <row r="38" spans="1:8" ht="15.75" customHeight="1" x14ac:dyDescent="0.15">
      <c r="A38" s="2">
        <f>STDEV(E3:E32)</f>
        <v>2948.8078081921808</v>
      </c>
      <c r="B38" s="2">
        <f>AVERAGE(E3:E32)</f>
        <v>260026.4</v>
      </c>
      <c r="C38" s="2">
        <v>2</v>
      </c>
    </row>
    <row r="39" spans="1:8" ht="15.75" customHeight="1" x14ac:dyDescent="0.15">
      <c r="A39" s="2">
        <f>STDEV(F3:F32)</f>
        <v>4533.4445106380736</v>
      </c>
      <c r="B39" s="2">
        <f>AVERAGE(F3:F32)</f>
        <v>135720.20000000001</v>
      </c>
      <c r="C39" s="2">
        <v>4</v>
      </c>
    </row>
    <row r="40" spans="1:8" ht="15.75" customHeight="1" x14ac:dyDescent="0.15">
      <c r="A40" s="2">
        <f>STDEV(G3:G32)</f>
        <v>3866.7877749563299</v>
      </c>
      <c r="B40" s="2">
        <f>AVERAGE(G3:G32)</f>
        <v>134363.4</v>
      </c>
      <c r="C40" s="2">
        <v>8</v>
      </c>
    </row>
    <row r="41" spans="1:8" ht="15.75" customHeight="1" x14ac:dyDescent="0.15">
      <c r="A41" s="2">
        <f>STDEV(H3:H32)</f>
        <v>6478.421011770316</v>
      </c>
      <c r="B41" s="2">
        <f>AVERAGE(H3:H32)</f>
        <v>130669.23333333334</v>
      </c>
      <c r="C41" s="2">
        <v>12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3:H41"/>
  <sheetViews>
    <sheetView workbookViewId="0"/>
  </sheetViews>
  <sheetFormatPr baseColWidth="10" defaultColWidth="12.6640625" defaultRowHeight="15.75" customHeight="1" x14ac:dyDescent="0.15"/>
  <cols>
    <col min="1" max="1" width="17.1640625" customWidth="1"/>
    <col min="2" max="2" width="18.1640625" customWidth="1"/>
    <col min="3" max="3" width="17.33203125" customWidth="1"/>
    <col min="4" max="5" width="22.83203125" customWidth="1"/>
    <col min="6" max="6" width="22.1640625" customWidth="1"/>
    <col min="7" max="7" width="23.33203125" customWidth="1"/>
    <col min="8" max="8" width="20.6640625" customWidth="1"/>
  </cols>
  <sheetData>
    <row r="3" spans="3:8" ht="15.75" customHeight="1" x14ac:dyDescent="0.15">
      <c r="C3" s="1"/>
      <c r="D3" s="1" t="s">
        <v>122</v>
      </c>
      <c r="E3" s="1" t="s">
        <v>123</v>
      </c>
      <c r="F3" s="1" t="s">
        <v>124</v>
      </c>
      <c r="G3" s="1" t="s">
        <v>125</v>
      </c>
      <c r="H3" s="1" t="s">
        <v>126</v>
      </c>
    </row>
    <row r="4" spans="3:8" ht="15.75" customHeight="1" x14ac:dyDescent="0.15">
      <c r="C4" s="2">
        <v>1</v>
      </c>
      <c r="D4" s="2">
        <v>1090954</v>
      </c>
      <c r="E4" s="2">
        <v>548538</v>
      </c>
      <c r="F4" s="2">
        <v>306686</v>
      </c>
      <c r="G4" s="2">
        <v>289252</v>
      </c>
      <c r="H4" s="2">
        <v>286211</v>
      </c>
    </row>
    <row r="5" spans="3:8" ht="15.75" customHeight="1" x14ac:dyDescent="0.15">
      <c r="C5" s="2">
        <f t="shared" ref="C5:C33" si="0">C4+1</f>
        <v>2</v>
      </c>
      <c r="D5" s="2">
        <v>1021896</v>
      </c>
      <c r="E5" s="2">
        <v>557195</v>
      </c>
      <c r="F5" s="2">
        <v>281446</v>
      </c>
      <c r="G5" s="2">
        <v>266668</v>
      </c>
      <c r="H5" s="2">
        <v>285249</v>
      </c>
    </row>
    <row r="6" spans="3:8" ht="15.75" customHeight="1" x14ac:dyDescent="0.15">
      <c r="C6" s="2">
        <f t="shared" si="0"/>
        <v>3</v>
      </c>
      <c r="D6" s="2">
        <v>835052</v>
      </c>
      <c r="E6" s="2">
        <v>552943</v>
      </c>
      <c r="F6" s="2">
        <v>287164</v>
      </c>
      <c r="G6" s="2">
        <v>280857</v>
      </c>
      <c r="H6" s="2">
        <v>281432</v>
      </c>
    </row>
    <row r="7" spans="3:8" ht="15.75" customHeight="1" x14ac:dyDescent="0.15">
      <c r="C7" s="2">
        <f t="shared" si="0"/>
        <v>4</v>
      </c>
      <c r="D7" s="2">
        <v>1101696</v>
      </c>
      <c r="E7" s="2">
        <v>561238</v>
      </c>
      <c r="F7" s="2">
        <v>284367</v>
      </c>
      <c r="G7" s="2">
        <v>289174</v>
      </c>
      <c r="H7" s="2">
        <v>281167</v>
      </c>
    </row>
    <row r="8" spans="3:8" ht="15.75" customHeight="1" x14ac:dyDescent="0.15">
      <c r="C8" s="2">
        <f t="shared" si="0"/>
        <v>5</v>
      </c>
      <c r="D8" s="2">
        <v>1101919</v>
      </c>
      <c r="E8" s="2">
        <v>550815</v>
      </c>
      <c r="F8" s="2">
        <v>290252</v>
      </c>
      <c r="G8" s="2">
        <v>282598</v>
      </c>
      <c r="H8" s="2">
        <v>288450</v>
      </c>
    </row>
    <row r="9" spans="3:8" ht="15.75" customHeight="1" x14ac:dyDescent="0.15">
      <c r="C9" s="2">
        <f t="shared" si="0"/>
        <v>6</v>
      </c>
      <c r="D9" s="2">
        <v>1091537</v>
      </c>
      <c r="E9" s="2">
        <v>547312</v>
      </c>
      <c r="F9" s="2">
        <v>280027</v>
      </c>
      <c r="G9" s="2">
        <v>263747</v>
      </c>
      <c r="H9" s="2">
        <v>283775</v>
      </c>
    </row>
    <row r="10" spans="3:8" ht="15.75" customHeight="1" x14ac:dyDescent="0.15">
      <c r="C10" s="2">
        <f t="shared" si="0"/>
        <v>7</v>
      </c>
      <c r="D10" s="2">
        <v>1103607</v>
      </c>
      <c r="E10" s="2">
        <v>546733</v>
      </c>
      <c r="F10" s="2">
        <v>280877</v>
      </c>
      <c r="G10" s="2">
        <v>274333</v>
      </c>
      <c r="H10" s="2">
        <v>282958</v>
      </c>
    </row>
    <row r="11" spans="3:8" ht="15.75" customHeight="1" x14ac:dyDescent="0.15">
      <c r="C11" s="2">
        <f t="shared" si="0"/>
        <v>8</v>
      </c>
      <c r="D11" s="2">
        <v>1104971</v>
      </c>
      <c r="E11" s="2">
        <v>555758</v>
      </c>
      <c r="F11" s="2">
        <v>288008</v>
      </c>
      <c r="G11" s="2">
        <v>293915</v>
      </c>
      <c r="H11" s="2">
        <v>290094</v>
      </c>
    </row>
    <row r="12" spans="3:8" ht="15.75" customHeight="1" x14ac:dyDescent="0.15">
      <c r="C12" s="2">
        <f t="shared" si="0"/>
        <v>9</v>
      </c>
      <c r="D12" s="2">
        <v>1088961</v>
      </c>
      <c r="E12" s="2">
        <v>548926</v>
      </c>
      <c r="F12" s="2">
        <v>280657</v>
      </c>
      <c r="G12" s="2">
        <v>265549</v>
      </c>
      <c r="H12" s="2">
        <v>283572</v>
      </c>
    </row>
    <row r="13" spans="3:8" ht="15.75" customHeight="1" x14ac:dyDescent="0.15">
      <c r="C13" s="2">
        <f t="shared" si="0"/>
        <v>10</v>
      </c>
      <c r="D13" s="2">
        <v>1093035</v>
      </c>
      <c r="E13" s="2">
        <v>558579</v>
      </c>
      <c r="F13" s="2">
        <v>282222</v>
      </c>
      <c r="G13" s="2">
        <v>262715</v>
      </c>
      <c r="H13" s="2">
        <v>283619</v>
      </c>
    </row>
    <row r="14" spans="3:8" ht="15.75" customHeight="1" x14ac:dyDescent="0.15">
      <c r="C14" s="2">
        <f t="shared" si="0"/>
        <v>11</v>
      </c>
      <c r="D14" s="2">
        <v>1110852</v>
      </c>
      <c r="E14" s="2">
        <v>556383</v>
      </c>
      <c r="F14" s="2">
        <v>285313</v>
      </c>
      <c r="G14" s="2">
        <v>292452</v>
      </c>
      <c r="H14" s="2">
        <v>281332</v>
      </c>
    </row>
    <row r="15" spans="3:8" ht="15.75" customHeight="1" x14ac:dyDescent="0.15">
      <c r="C15" s="2">
        <f t="shared" si="0"/>
        <v>12</v>
      </c>
      <c r="D15" s="2">
        <v>1101740</v>
      </c>
      <c r="E15" s="2">
        <v>556597</v>
      </c>
      <c r="F15" s="2">
        <v>279287</v>
      </c>
      <c r="G15" s="2">
        <v>288978</v>
      </c>
      <c r="H15" s="2">
        <v>267574</v>
      </c>
    </row>
    <row r="16" spans="3:8" ht="15.75" customHeight="1" x14ac:dyDescent="0.15">
      <c r="C16" s="2">
        <f t="shared" si="0"/>
        <v>13</v>
      </c>
      <c r="D16" s="2">
        <v>1121711</v>
      </c>
      <c r="E16" s="2">
        <v>562376</v>
      </c>
      <c r="F16" s="2">
        <v>285525</v>
      </c>
      <c r="G16" s="2">
        <v>294142</v>
      </c>
      <c r="H16" s="2">
        <v>261810</v>
      </c>
    </row>
    <row r="17" spans="3:8" ht="15.75" customHeight="1" x14ac:dyDescent="0.15">
      <c r="C17" s="2">
        <f t="shared" si="0"/>
        <v>14</v>
      </c>
      <c r="D17" s="2">
        <v>1102607</v>
      </c>
      <c r="E17" s="2">
        <v>550387</v>
      </c>
      <c r="F17" s="2">
        <v>282106</v>
      </c>
      <c r="G17" s="2">
        <v>267559</v>
      </c>
      <c r="H17" s="2">
        <v>272320</v>
      </c>
    </row>
    <row r="18" spans="3:8" ht="15.75" customHeight="1" x14ac:dyDescent="0.15">
      <c r="C18" s="2">
        <f t="shared" si="0"/>
        <v>15</v>
      </c>
      <c r="D18" s="2">
        <v>1094240</v>
      </c>
      <c r="E18" s="2">
        <v>556835</v>
      </c>
      <c r="F18" s="2">
        <v>284465</v>
      </c>
      <c r="G18" s="2">
        <v>281726</v>
      </c>
      <c r="H18" s="2">
        <v>265120</v>
      </c>
    </row>
    <row r="19" spans="3:8" ht="15.75" customHeight="1" x14ac:dyDescent="0.15">
      <c r="C19" s="2">
        <f t="shared" si="0"/>
        <v>16</v>
      </c>
      <c r="D19" s="2">
        <v>1127277</v>
      </c>
      <c r="E19" s="2">
        <v>560876</v>
      </c>
      <c r="F19" s="2">
        <v>283389</v>
      </c>
      <c r="G19" s="2">
        <v>289227</v>
      </c>
      <c r="H19" s="2">
        <v>281608</v>
      </c>
    </row>
    <row r="20" spans="3:8" ht="15.75" customHeight="1" x14ac:dyDescent="0.15">
      <c r="C20" s="2">
        <f t="shared" si="0"/>
        <v>17</v>
      </c>
      <c r="D20" s="2">
        <v>1121612</v>
      </c>
      <c r="E20" s="2">
        <v>555042</v>
      </c>
      <c r="F20" s="2">
        <v>286697</v>
      </c>
      <c r="G20" s="2">
        <v>292689</v>
      </c>
      <c r="H20" s="2">
        <v>285484</v>
      </c>
    </row>
    <row r="21" spans="3:8" ht="15.75" customHeight="1" x14ac:dyDescent="0.15">
      <c r="C21" s="2">
        <f t="shared" si="0"/>
        <v>18</v>
      </c>
      <c r="D21" s="2">
        <v>874018</v>
      </c>
      <c r="E21" s="2">
        <v>546194</v>
      </c>
      <c r="F21" s="2">
        <v>281714</v>
      </c>
      <c r="G21" s="2">
        <v>282486</v>
      </c>
      <c r="H21" s="2">
        <v>283123</v>
      </c>
    </row>
    <row r="22" spans="3:8" ht="15.75" customHeight="1" x14ac:dyDescent="0.15">
      <c r="C22" s="2">
        <f t="shared" si="0"/>
        <v>19</v>
      </c>
      <c r="D22" s="2">
        <v>1094290</v>
      </c>
      <c r="E22" s="2">
        <v>548434</v>
      </c>
      <c r="F22" s="2">
        <v>297874</v>
      </c>
      <c r="G22" s="2">
        <v>290719</v>
      </c>
      <c r="H22" s="2">
        <v>269830</v>
      </c>
    </row>
    <row r="23" spans="3:8" ht="15.75" customHeight="1" x14ac:dyDescent="0.15">
      <c r="C23" s="2">
        <f t="shared" si="0"/>
        <v>20</v>
      </c>
      <c r="D23" s="2">
        <v>1103653</v>
      </c>
      <c r="E23" s="2">
        <v>553930</v>
      </c>
      <c r="F23" s="2">
        <v>278202</v>
      </c>
      <c r="G23" s="2">
        <v>271546</v>
      </c>
      <c r="H23" s="2">
        <v>281248</v>
      </c>
    </row>
    <row r="24" spans="3:8" ht="15.75" customHeight="1" x14ac:dyDescent="0.15">
      <c r="C24" s="2">
        <f t="shared" si="0"/>
        <v>21</v>
      </c>
      <c r="D24" s="2">
        <v>1096715</v>
      </c>
      <c r="E24" s="2">
        <v>552053</v>
      </c>
      <c r="F24" s="2">
        <v>282401</v>
      </c>
      <c r="G24" s="2">
        <v>276633</v>
      </c>
      <c r="H24" s="2">
        <v>264904</v>
      </c>
    </row>
    <row r="25" spans="3:8" ht="15.75" customHeight="1" x14ac:dyDescent="0.15">
      <c r="C25" s="2">
        <f t="shared" si="0"/>
        <v>22</v>
      </c>
      <c r="D25" s="2">
        <v>1089774</v>
      </c>
      <c r="E25" s="2">
        <v>552967</v>
      </c>
      <c r="F25" s="2">
        <v>281980</v>
      </c>
      <c r="G25" s="2">
        <v>278301</v>
      </c>
      <c r="H25" s="2">
        <v>283199</v>
      </c>
    </row>
    <row r="26" spans="3:8" ht="15.75" customHeight="1" x14ac:dyDescent="0.15">
      <c r="C26" s="2">
        <f t="shared" si="0"/>
        <v>23</v>
      </c>
      <c r="D26" s="2">
        <v>837492</v>
      </c>
      <c r="E26" s="2">
        <v>548936</v>
      </c>
      <c r="F26" s="2">
        <v>294051</v>
      </c>
      <c r="G26" s="2">
        <v>287504</v>
      </c>
      <c r="H26" s="2">
        <v>283557</v>
      </c>
    </row>
    <row r="27" spans="3:8" ht="15.75" customHeight="1" x14ac:dyDescent="0.15">
      <c r="C27" s="2">
        <f t="shared" si="0"/>
        <v>24</v>
      </c>
      <c r="D27" s="2">
        <v>1115113</v>
      </c>
      <c r="E27" s="2">
        <v>553733</v>
      </c>
      <c r="F27" s="2">
        <v>281360</v>
      </c>
      <c r="G27" s="2">
        <v>281438</v>
      </c>
      <c r="H27" s="2">
        <v>269987</v>
      </c>
    </row>
    <row r="28" spans="3:8" ht="15.75" customHeight="1" x14ac:dyDescent="0.15">
      <c r="C28" s="2">
        <f t="shared" si="0"/>
        <v>25</v>
      </c>
      <c r="D28" s="2">
        <v>1093934</v>
      </c>
      <c r="E28" s="2">
        <v>571836</v>
      </c>
      <c r="F28" s="2">
        <v>280665</v>
      </c>
      <c r="G28" s="2">
        <v>266445</v>
      </c>
      <c r="H28" s="2">
        <v>262941</v>
      </c>
    </row>
    <row r="29" spans="3:8" ht="15.75" customHeight="1" x14ac:dyDescent="0.15">
      <c r="C29" s="2">
        <f t="shared" si="0"/>
        <v>26</v>
      </c>
      <c r="D29" s="2">
        <v>1097336</v>
      </c>
      <c r="E29" s="2">
        <v>553985</v>
      </c>
      <c r="F29" s="2">
        <v>283846</v>
      </c>
      <c r="G29" s="2">
        <v>279939</v>
      </c>
      <c r="H29" s="2">
        <v>284155</v>
      </c>
    </row>
    <row r="30" spans="3:8" ht="15.75" customHeight="1" x14ac:dyDescent="0.15">
      <c r="C30" s="2">
        <f t="shared" si="0"/>
        <v>27</v>
      </c>
      <c r="D30" s="2">
        <v>1101472</v>
      </c>
      <c r="E30" s="2">
        <v>561175</v>
      </c>
      <c r="F30" s="2">
        <v>282238</v>
      </c>
      <c r="G30" s="2">
        <v>280957</v>
      </c>
      <c r="H30" s="2">
        <v>279435</v>
      </c>
    </row>
    <row r="31" spans="3:8" ht="15.75" customHeight="1" x14ac:dyDescent="0.15">
      <c r="C31" s="2">
        <f t="shared" si="0"/>
        <v>28</v>
      </c>
      <c r="D31" s="2">
        <v>1117964</v>
      </c>
      <c r="E31" s="2">
        <v>564494</v>
      </c>
      <c r="F31" s="2">
        <v>281254</v>
      </c>
      <c r="G31" s="2">
        <v>281315</v>
      </c>
      <c r="H31" s="2">
        <v>256715</v>
      </c>
    </row>
    <row r="32" spans="3:8" ht="15.75" customHeight="1" x14ac:dyDescent="0.15">
      <c r="C32" s="2">
        <f t="shared" si="0"/>
        <v>29</v>
      </c>
      <c r="D32" s="2">
        <v>1093511</v>
      </c>
      <c r="E32" s="2">
        <v>546719</v>
      </c>
      <c r="F32" s="2">
        <v>282931</v>
      </c>
      <c r="G32" s="2">
        <v>295462</v>
      </c>
      <c r="H32" s="2">
        <v>286482</v>
      </c>
    </row>
    <row r="33" spans="1:8" ht="15.75" customHeight="1" x14ac:dyDescent="0.15">
      <c r="C33" s="2">
        <f t="shared" si="0"/>
        <v>30</v>
      </c>
      <c r="D33" s="2">
        <v>1091370</v>
      </c>
      <c r="E33" s="2">
        <v>554421</v>
      </c>
      <c r="F33" s="2">
        <v>283667</v>
      </c>
      <c r="G33" s="2">
        <v>284287</v>
      </c>
      <c r="H33" s="2">
        <v>255038</v>
      </c>
    </row>
    <row r="34" spans="1:8" ht="15.75" customHeight="1" x14ac:dyDescent="0.15">
      <c r="C34" s="1" t="s">
        <v>15</v>
      </c>
      <c r="D34" s="2">
        <f t="shared" ref="D34:H34" si="1">AVERAGE(D4:D33)</f>
        <v>1074010.3</v>
      </c>
      <c r="E34" s="2">
        <f t="shared" si="1"/>
        <v>554513.66666666663</v>
      </c>
      <c r="F34" s="2">
        <f t="shared" si="1"/>
        <v>284689.03333333333</v>
      </c>
      <c r="G34" s="2">
        <f t="shared" si="1"/>
        <v>281087.09999999998</v>
      </c>
      <c r="H34" s="2">
        <f t="shared" si="1"/>
        <v>277412.96666666667</v>
      </c>
    </row>
    <row r="35" spans="1:8" ht="15.75" customHeight="1" x14ac:dyDescent="0.15">
      <c r="C35" s="1" t="s">
        <v>16</v>
      </c>
      <c r="D35" s="2">
        <f t="shared" ref="D35:H35" si="2">STDEV(D4:D33)</f>
        <v>78586.317906797718</v>
      </c>
      <c r="E35" s="2">
        <f t="shared" si="2"/>
        <v>6018.8344176531755</v>
      </c>
      <c r="F35" s="2">
        <f t="shared" si="2"/>
        <v>5927.2126116479212</v>
      </c>
      <c r="G35" s="2">
        <f t="shared" si="2"/>
        <v>9940.4867512473538</v>
      </c>
      <c r="H35" s="2">
        <f t="shared" si="2"/>
        <v>9952.8125863074983</v>
      </c>
    </row>
    <row r="36" spans="1:8" ht="15.75" customHeight="1" x14ac:dyDescent="0.15">
      <c r="A36" s="1" t="s">
        <v>7</v>
      </c>
      <c r="B36" s="1" t="s">
        <v>83</v>
      </c>
      <c r="C36" s="1" t="s">
        <v>47</v>
      </c>
    </row>
    <row r="37" spans="1:8" ht="15.75" customHeight="1" x14ac:dyDescent="0.15">
      <c r="A37" s="2">
        <f>STDEV(D4:D33)</f>
        <v>78586.317906797718</v>
      </c>
      <c r="B37" s="2">
        <f>AVERAGE(D4:D33)</f>
        <v>1074010.3</v>
      </c>
      <c r="C37" s="2">
        <v>1</v>
      </c>
    </row>
    <row r="38" spans="1:8" ht="15.75" customHeight="1" x14ac:dyDescent="0.15">
      <c r="A38" s="2">
        <f>STDEV(E4:E33)</f>
        <v>6018.8344176531755</v>
      </c>
      <c r="B38" s="2">
        <f>AVERAGE(E4:E33)</f>
        <v>554513.66666666663</v>
      </c>
      <c r="C38" s="2">
        <v>2</v>
      </c>
    </row>
    <row r="39" spans="1:8" ht="15.75" customHeight="1" x14ac:dyDescent="0.15">
      <c r="A39" s="2">
        <f>STDEV(F4:F33)</f>
        <v>5927.2126116479212</v>
      </c>
      <c r="B39" s="2">
        <f>AVERAGE(F4:F33)</f>
        <v>284689.03333333333</v>
      </c>
      <c r="C39" s="2">
        <v>4</v>
      </c>
    </row>
    <row r="40" spans="1:8" ht="15.75" customHeight="1" x14ac:dyDescent="0.15">
      <c r="A40" s="2">
        <f>STDEV(G4:G33)</f>
        <v>9940.4867512473538</v>
      </c>
      <c r="B40" s="2">
        <f>AVERAGE(G4:G33)</f>
        <v>281087.09999999998</v>
      </c>
      <c r="C40" s="2">
        <v>8</v>
      </c>
    </row>
    <row r="41" spans="1:8" ht="15.75" customHeight="1" x14ac:dyDescent="0.15">
      <c r="A41" s="2">
        <f>STDEV(H4:H33)</f>
        <v>9952.8125863074983</v>
      </c>
      <c r="B41" s="2">
        <f>AVERAGE(H4:H33)</f>
        <v>277412.96666666667</v>
      </c>
      <c r="C41" s="2">
        <v>12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4:H42"/>
  <sheetViews>
    <sheetView workbookViewId="0"/>
  </sheetViews>
  <sheetFormatPr baseColWidth="10" defaultColWidth="12.6640625" defaultRowHeight="15.75" customHeight="1" x14ac:dyDescent="0.15"/>
  <cols>
    <col min="4" max="4" width="21.1640625" customWidth="1"/>
    <col min="5" max="5" width="21.5" customWidth="1"/>
    <col min="6" max="6" width="21.6640625" customWidth="1"/>
    <col min="7" max="7" width="19.6640625" customWidth="1"/>
    <col min="8" max="8" width="20.83203125" customWidth="1"/>
  </cols>
  <sheetData>
    <row r="4" spans="3:8" ht="15.75" customHeight="1" x14ac:dyDescent="0.15">
      <c r="C4" s="1"/>
      <c r="D4" s="1" t="s">
        <v>127</v>
      </c>
      <c r="E4" s="1" t="s">
        <v>128</v>
      </c>
      <c r="F4" s="1" t="s">
        <v>129</v>
      </c>
      <c r="G4" s="1" t="s">
        <v>130</v>
      </c>
      <c r="H4" s="1" t="s">
        <v>131</v>
      </c>
    </row>
    <row r="5" spans="3:8" ht="15.75" customHeight="1" x14ac:dyDescent="0.15">
      <c r="C5" s="2">
        <v>1</v>
      </c>
      <c r="D5" s="2">
        <v>2015925</v>
      </c>
      <c r="E5" s="2">
        <v>1325941</v>
      </c>
      <c r="F5" s="2">
        <v>689342</v>
      </c>
      <c r="G5" s="2">
        <v>681154</v>
      </c>
      <c r="H5" s="2">
        <v>665939</v>
      </c>
    </row>
    <row r="6" spans="3:8" ht="15.75" customHeight="1" x14ac:dyDescent="0.15">
      <c r="C6" s="2">
        <f t="shared" ref="C6:C34" si="0">C5+1</f>
        <v>2</v>
      </c>
      <c r="D6" s="2">
        <v>2658815</v>
      </c>
      <c r="E6" s="2">
        <v>1317558</v>
      </c>
      <c r="F6" s="2">
        <v>670472</v>
      </c>
      <c r="G6" s="2">
        <v>665197</v>
      </c>
      <c r="H6" s="2">
        <v>667639</v>
      </c>
    </row>
    <row r="7" spans="3:8" ht="15.75" customHeight="1" x14ac:dyDescent="0.15">
      <c r="C7" s="2">
        <f t="shared" si="0"/>
        <v>3</v>
      </c>
      <c r="D7" s="2">
        <v>2660292</v>
      </c>
      <c r="E7" s="2">
        <v>1330269</v>
      </c>
      <c r="F7" s="2">
        <v>686755</v>
      </c>
      <c r="G7" s="2">
        <v>671815</v>
      </c>
      <c r="H7" s="2">
        <v>670480</v>
      </c>
    </row>
    <row r="8" spans="3:8" ht="15.75" customHeight="1" x14ac:dyDescent="0.15">
      <c r="C8" s="2">
        <f t="shared" si="0"/>
        <v>4</v>
      </c>
      <c r="D8" s="2">
        <v>2641177</v>
      </c>
      <c r="E8" s="2">
        <v>1324227</v>
      </c>
      <c r="F8" s="2">
        <v>670574</v>
      </c>
      <c r="G8" s="2">
        <v>664340</v>
      </c>
      <c r="H8" s="2">
        <v>677700</v>
      </c>
    </row>
    <row r="9" spans="3:8" ht="15.75" customHeight="1" x14ac:dyDescent="0.15">
      <c r="C9" s="2">
        <f t="shared" si="0"/>
        <v>5</v>
      </c>
      <c r="D9" s="2">
        <v>2678866</v>
      </c>
      <c r="E9" s="2">
        <v>1323328</v>
      </c>
      <c r="F9" s="2">
        <v>666938</v>
      </c>
      <c r="G9" s="2">
        <v>679437</v>
      </c>
      <c r="H9" s="2">
        <v>670166</v>
      </c>
    </row>
    <row r="10" spans="3:8" ht="15.75" customHeight="1" x14ac:dyDescent="0.15">
      <c r="C10" s="2">
        <f t="shared" si="0"/>
        <v>6</v>
      </c>
      <c r="D10" s="2">
        <v>2667550</v>
      </c>
      <c r="E10" s="2">
        <v>1319207</v>
      </c>
      <c r="F10" s="2">
        <v>666911</v>
      </c>
      <c r="G10" s="2">
        <v>666336</v>
      </c>
      <c r="H10" s="2">
        <v>666408</v>
      </c>
    </row>
    <row r="11" spans="3:8" ht="15.75" customHeight="1" x14ac:dyDescent="0.15">
      <c r="C11" s="2">
        <f t="shared" si="0"/>
        <v>7</v>
      </c>
      <c r="D11" s="2">
        <v>2663809</v>
      </c>
      <c r="E11" s="2">
        <v>1319823</v>
      </c>
      <c r="F11" s="2">
        <v>664621</v>
      </c>
      <c r="G11" s="2">
        <v>596290</v>
      </c>
      <c r="H11" s="2">
        <v>674388</v>
      </c>
    </row>
    <row r="12" spans="3:8" ht="15.75" customHeight="1" x14ac:dyDescent="0.15">
      <c r="C12" s="2">
        <f t="shared" si="0"/>
        <v>8</v>
      </c>
      <c r="D12" s="2">
        <v>2649372</v>
      </c>
      <c r="E12" s="2">
        <v>1328903</v>
      </c>
      <c r="F12" s="2">
        <v>672434</v>
      </c>
      <c r="G12" s="2">
        <v>632814</v>
      </c>
      <c r="H12" s="2">
        <v>623580</v>
      </c>
    </row>
    <row r="13" spans="3:8" ht="15.75" customHeight="1" x14ac:dyDescent="0.15">
      <c r="C13" s="2">
        <f t="shared" si="0"/>
        <v>9</v>
      </c>
      <c r="D13" s="2">
        <v>2662172</v>
      </c>
      <c r="E13" s="2">
        <v>1322533</v>
      </c>
      <c r="F13" s="2">
        <v>677147</v>
      </c>
      <c r="G13" s="2">
        <v>635930</v>
      </c>
      <c r="H13" s="2">
        <v>670383</v>
      </c>
    </row>
    <row r="14" spans="3:8" ht="15.75" customHeight="1" x14ac:dyDescent="0.15">
      <c r="C14" s="2">
        <f t="shared" si="0"/>
        <v>10</v>
      </c>
      <c r="D14" s="2">
        <v>2676066</v>
      </c>
      <c r="E14" s="2">
        <v>1325689</v>
      </c>
      <c r="F14" s="2">
        <v>670401</v>
      </c>
      <c r="G14" s="2">
        <v>664401</v>
      </c>
      <c r="H14" s="2">
        <v>674328</v>
      </c>
    </row>
    <row r="15" spans="3:8" ht="15.75" customHeight="1" x14ac:dyDescent="0.15">
      <c r="C15" s="2">
        <f t="shared" si="0"/>
        <v>11</v>
      </c>
      <c r="D15" s="2">
        <v>2653299</v>
      </c>
      <c r="E15" s="2">
        <v>1314628</v>
      </c>
      <c r="F15" s="2">
        <v>670989</v>
      </c>
      <c r="G15" s="2">
        <v>681593</v>
      </c>
      <c r="H15" s="2">
        <v>663351</v>
      </c>
    </row>
    <row r="16" spans="3:8" ht="15.75" customHeight="1" x14ac:dyDescent="0.15">
      <c r="C16" s="2">
        <f t="shared" si="0"/>
        <v>12</v>
      </c>
      <c r="D16" s="2">
        <v>2639915</v>
      </c>
      <c r="E16" s="2">
        <v>1321930</v>
      </c>
      <c r="F16" s="2">
        <v>664555</v>
      </c>
      <c r="G16" s="2">
        <v>666518</v>
      </c>
      <c r="H16" s="2">
        <v>671856</v>
      </c>
    </row>
    <row r="17" spans="3:8" ht="15.75" customHeight="1" x14ac:dyDescent="0.15">
      <c r="C17" s="2">
        <f t="shared" si="0"/>
        <v>13</v>
      </c>
      <c r="D17" s="2">
        <v>2594454</v>
      </c>
      <c r="E17" s="2">
        <v>1319999</v>
      </c>
      <c r="F17" s="2">
        <v>670431</v>
      </c>
      <c r="G17" s="2">
        <v>587056</v>
      </c>
      <c r="H17" s="2">
        <v>681167</v>
      </c>
    </row>
    <row r="18" spans="3:8" ht="15.75" customHeight="1" x14ac:dyDescent="0.15">
      <c r="C18" s="2">
        <f t="shared" si="0"/>
        <v>14</v>
      </c>
      <c r="D18" s="2">
        <v>2660504</v>
      </c>
      <c r="E18" s="2">
        <v>1319432</v>
      </c>
      <c r="F18" s="2">
        <v>666813</v>
      </c>
      <c r="G18" s="2">
        <v>627419</v>
      </c>
      <c r="H18" s="2">
        <v>672647</v>
      </c>
    </row>
    <row r="19" spans="3:8" ht="15.75" customHeight="1" x14ac:dyDescent="0.15">
      <c r="C19" s="2">
        <f t="shared" si="0"/>
        <v>15</v>
      </c>
      <c r="D19" s="2">
        <v>2723026</v>
      </c>
      <c r="E19" s="2">
        <v>1331196</v>
      </c>
      <c r="F19" s="2">
        <v>684654</v>
      </c>
      <c r="G19" s="2">
        <v>674405</v>
      </c>
      <c r="H19" s="2">
        <v>675624</v>
      </c>
    </row>
    <row r="20" spans="3:8" ht="15.75" customHeight="1" x14ac:dyDescent="0.15">
      <c r="C20" s="2">
        <f t="shared" si="0"/>
        <v>16</v>
      </c>
      <c r="D20" s="2">
        <v>2686055</v>
      </c>
      <c r="E20" s="2">
        <v>1328524</v>
      </c>
      <c r="F20" s="2">
        <v>670748</v>
      </c>
      <c r="G20" s="2">
        <v>670439</v>
      </c>
      <c r="H20" s="2">
        <v>630125</v>
      </c>
    </row>
    <row r="21" spans="3:8" ht="15.75" customHeight="1" x14ac:dyDescent="0.15">
      <c r="C21" s="2">
        <f t="shared" si="0"/>
        <v>17</v>
      </c>
      <c r="D21" s="2">
        <v>2687596</v>
      </c>
      <c r="E21" s="2">
        <v>1326896</v>
      </c>
      <c r="F21" s="2">
        <v>678609</v>
      </c>
      <c r="G21" s="2">
        <v>693034</v>
      </c>
      <c r="H21" s="2">
        <v>675229</v>
      </c>
    </row>
    <row r="22" spans="3:8" ht="15.75" customHeight="1" x14ac:dyDescent="0.15">
      <c r="C22" s="2">
        <f t="shared" si="0"/>
        <v>18</v>
      </c>
      <c r="D22" s="2">
        <v>2673787</v>
      </c>
      <c r="E22" s="2">
        <v>1329594</v>
      </c>
      <c r="F22" s="2">
        <v>669535</v>
      </c>
      <c r="G22" s="2">
        <v>630376</v>
      </c>
      <c r="H22" s="2">
        <v>626147</v>
      </c>
    </row>
    <row r="23" spans="3:8" ht="15.75" customHeight="1" x14ac:dyDescent="0.15">
      <c r="C23" s="2">
        <f t="shared" si="0"/>
        <v>19</v>
      </c>
      <c r="D23" s="2">
        <v>2518814</v>
      </c>
      <c r="E23" s="2">
        <v>1329998</v>
      </c>
      <c r="F23" s="2">
        <v>675046</v>
      </c>
      <c r="G23" s="2">
        <v>665987</v>
      </c>
      <c r="H23" s="2">
        <v>628796</v>
      </c>
    </row>
    <row r="24" spans="3:8" ht="15.75" customHeight="1" x14ac:dyDescent="0.15">
      <c r="C24" s="2">
        <f t="shared" si="0"/>
        <v>20</v>
      </c>
      <c r="D24" s="2">
        <v>2654902</v>
      </c>
      <c r="E24" s="2">
        <v>1316846</v>
      </c>
      <c r="F24" s="2">
        <v>673968</v>
      </c>
      <c r="G24" s="2">
        <v>680571</v>
      </c>
      <c r="H24" s="2">
        <v>625680</v>
      </c>
    </row>
    <row r="25" spans="3:8" ht="15.75" customHeight="1" x14ac:dyDescent="0.15">
      <c r="C25" s="2">
        <f t="shared" si="0"/>
        <v>21</v>
      </c>
      <c r="D25" s="2">
        <v>2639217</v>
      </c>
      <c r="E25" s="2">
        <v>1318654</v>
      </c>
      <c r="F25" s="2">
        <v>667145</v>
      </c>
      <c r="G25" s="2">
        <v>675400</v>
      </c>
      <c r="H25" s="2">
        <v>666348</v>
      </c>
    </row>
    <row r="26" spans="3:8" ht="15.75" customHeight="1" x14ac:dyDescent="0.15">
      <c r="C26" s="2">
        <f t="shared" si="0"/>
        <v>22</v>
      </c>
      <c r="D26" s="2">
        <v>2659499</v>
      </c>
      <c r="E26" s="2">
        <v>1317142</v>
      </c>
      <c r="F26" s="2">
        <v>673377</v>
      </c>
      <c r="G26" s="2">
        <v>680686</v>
      </c>
      <c r="H26" s="2">
        <v>597136</v>
      </c>
    </row>
    <row r="27" spans="3:8" ht="15.75" customHeight="1" x14ac:dyDescent="0.15">
      <c r="C27" s="2">
        <f t="shared" si="0"/>
        <v>23</v>
      </c>
      <c r="D27" s="2">
        <v>2645191</v>
      </c>
      <c r="E27" s="2">
        <v>1322400</v>
      </c>
      <c r="F27" s="2">
        <v>668998</v>
      </c>
      <c r="G27" s="2">
        <v>664819</v>
      </c>
      <c r="H27" s="2">
        <v>605444</v>
      </c>
    </row>
    <row r="28" spans="3:8" ht="15.75" customHeight="1" x14ac:dyDescent="0.15">
      <c r="C28" s="2">
        <f t="shared" si="0"/>
        <v>24</v>
      </c>
      <c r="D28" s="2">
        <v>2666243</v>
      </c>
      <c r="E28" s="2">
        <v>1333710</v>
      </c>
      <c r="F28" s="2">
        <v>672522</v>
      </c>
      <c r="G28" s="2">
        <v>678962</v>
      </c>
      <c r="H28" s="2">
        <v>661771</v>
      </c>
    </row>
    <row r="29" spans="3:8" ht="15.75" customHeight="1" x14ac:dyDescent="0.15">
      <c r="C29" s="2">
        <f t="shared" si="0"/>
        <v>25</v>
      </c>
      <c r="D29" s="2">
        <v>2687161</v>
      </c>
      <c r="E29" s="2">
        <v>1321351</v>
      </c>
      <c r="F29" s="2">
        <v>678829</v>
      </c>
      <c r="G29" s="2">
        <v>674712</v>
      </c>
      <c r="H29" s="2">
        <v>670064</v>
      </c>
    </row>
    <row r="30" spans="3:8" ht="15.75" customHeight="1" x14ac:dyDescent="0.15">
      <c r="C30" s="2">
        <f t="shared" si="0"/>
        <v>26</v>
      </c>
      <c r="D30" s="2">
        <v>2642174</v>
      </c>
      <c r="E30" s="2">
        <v>1329197</v>
      </c>
      <c r="F30" s="2">
        <v>662563</v>
      </c>
      <c r="G30" s="2">
        <v>669528</v>
      </c>
      <c r="H30" s="2">
        <v>628646</v>
      </c>
    </row>
    <row r="31" spans="3:8" ht="15.75" customHeight="1" x14ac:dyDescent="0.15">
      <c r="C31" s="2">
        <f t="shared" si="0"/>
        <v>27</v>
      </c>
      <c r="D31" s="2">
        <v>2221564</v>
      </c>
      <c r="E31" s="2">
        <v>1320763</v>
      </c>
      <c r="F31" s="2">
        <v>667908</v>
      </c>
      <c r="G31" s="2">
        <v>666077</v>
      </c>
      <c r="H31" s="2">
        <v>668919</v>
      </c>
    </row>
    <row r="32" spans="3:8" ht="15.75" customHeight="1" x14ac:dyDescent="0.15">
      <c r="C32" s="2">
        <f t="shared" si="0"/>
        <v>28</v>
      </c>
      <c r="D32" s="2">
        <v>2641813</v>
      </c>
      <c r="E32" s="2">
        <v>1321455</v>
      </c>
      <c r="F32" s="2">
        <v>666901</v>
      </c>
      <c r="G32" s="2">
        <v>685319</v>
      </c>
      <c r="H32" s="2">
        <v>630861</v>
      </c>
    </row>
    <row r="33" spans="1:8" ht="15.75" customHeight="1" x14ac:dyDescent="0.15">
      <c r="C33" s="2">
        <f t="shared" si="0"/>
        <v>29</v>
      </c>
      <c r="D33" s="2">
        <v>2656772</v>
      </c>
      <c r="E33" s="2">
        <v>1333247</v>
      </c>
      <c r="F33" s="2">
        <v>669883</v>
      </c>
      <c r="G33" s="2">
        <v>674012</v>
      </c>
      <c r="H33" s="2">
        <v>621149</v>
      </c>
    </row>
    <row r="34" spans="1:8" ht="15.75" customHeight="1" x14ac:dyDescent="0.15">
      <c r="C34" s="2">
        <f t="shared" si="0"/>
        <v>30</v>
      </c>
      <c r="D34" s="2">
        <v>2673098</v>
      </c>
      <c r="E34" s="2">
        <v>1330592</v>
      </c>
      <c r="F34" s="2">
        <v>674357</v>
      </c>
      <c r="G34" s="2">
        <v>669832</v>
      </c>
      <c r="H34" s="2">
        <v>674136</v>
      </c>
    </row>
    <row r="35" spans="1:8" ht="15.75" customHeight="1" x14ac:dyDescent="0.15">
      <c r="C35" s="1" t="s">
        <v>15</v>
      </c>
      <c r="D35" s="2">
        <f t="shared" ref="D35:H35" si="1">AVERAGE(D5:D34)</f>
        <v>2619970.9333333331</v>
      </c>
      <c r="E35" s="2">
        <f t="shared" si="1"/>
        <v>1324167.7333333334</v>
      </c>
      <c r="F35" s="2">
        <f t="shared" si="1"/>
        <v>672114.2</v>
      </c>
      <c r="G35" s="2">
        <f t="shared" si="1"/>
        <v>662481.96666666667</v>
      </c>
      <c r="H35" s="2">
        <f t="shared" si="1"/>
        <v>654536.9</v>
      </c>
    </row>
    <row r="36" spans="1:8" ht="15.75" customHeight="1" x14ac:dyDescent="0.15">
      <c r="C36" s="1" t="s">
        <v>16</v>
      </c>
      <c r="D36" s="2">
        <f t="shared" ref="D36:H36" si="2">STDEV(D5:D34)</f>
        <v>142962.94939259574</v>
      </c>
      <c r="E36" s="2">
        <f t="shared" si="2"/>
        <v>5363.2453243531018</v>
      </c>
      <c r="F36" s="2">
        <f t="shared" si="2"/>
        <v>6409.2599196195315</v>
      </c>
      <c r="G36" s="2">
        <f t="shared" si="2"/>
        <v>25068.39650798609</v>
      </c>
      <c r="H36" s="2">
        <f t="shared" si="2"/>
        <v>24727.561406810542</v>
      </c>
    </row>
    <row r="37" spans="1:8" ht="15.75" customHeight="1" x14ac:dyDescent="0.15">
      <c r="A37" s="1" t="s">
        <v>7</v>
      </c>
      <c r="B37" s="1" t="s">
        <v>83</v>
      </c>
      <c r="C37" s="1" t="s">
        <v>47</v>
      </c>
    </row>
    <row r="38" spans="1:8" ht="15.75" customHeight="1" x14ac:dyDescent="0.15">
      <c r="A38" s="2">
        <f>STDEV(D5:D34)</f>
        <v>142962.94939259574</v>
      </c>
      <c r="B38" s="2">
        <f>AVERAGE(D5:D34)</f>
        <v>2619970.9333333331</v>
      </c>
      <c r="C38" s="2">
        <v>1</v>
      </c>
    </row>
    <row r="39" spans="1:8" ht="15.75" customHeight="1" x14ac:dyDescent="0.15">
      <c r="A39" s="2">
        <f>STDEV(E5:E34)</f>
        <v>5363.2453243531018</v>
      </c>
      <c r="B39" s="2">
        <f>AVERAGE(E5:E34)</f>
        <v>1324167.7333333334</v>
      </c>
      <c r="C39" s="2">
        <v>2</v>
      </c>
    </row>
    <row r="40" spans="1:8" ht="15.75" customHeight="1" x14ac:dyDescent="0.15">
      <c r="A40" s="2">
        <f>STDEV(F5:F34)</f>
        <v>6409.2599196195315</v>
      </c>
      <c r="B40" s="2">
        <f>AVERAGE(F5:F34)</f>
        <v>672114.2</v>
      </c>
      <c r="C40" s="2">
        <v>4</v>
      </c>
    </row>
    <row r="41" spans="1:8" ht="15.75" customHeight="1" x14ac:dyDescent="0.15">
      <c r="A41" s="2">
        <f>STDEV(G5:G34)</f>
        <v>25068.39650798609</v>
      </c>
      <c r="B41" s="2">
        <f>AVERAGE(G5:G34)</f>
        <v>662481.96666666667</v>
      </c>
      <c r="C41" s="2">
        <v>8</v>
      </c>
    </row>
    <row r="42" spans="1:8" ht="15.75" customHeight="1" x14ac:dyDescent="0.15">
      <c r="A42" s="2">
        <f>STDEV(H5:H34)</f>
        <v>24727.561406810542</v>
      </c>
      <c r="B42" s="2">
        <f>AVERAGE(H5:H34)</f>
        <v>654536.9</v>
      </c>
      <c r="C42" s="2">
        <v>12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3:H41"/>
  <sheetViews>
    <sheetView workbookViewId="0"/>
  </sheetViews>
  <sheetFormatPr baseColWidth="10" defaultColWidth="12.6640625" defaultRowHeight="15.75" customHeight="1" x14ac:dyDescent="0.15"/>
  <cols>
    <col min="1" max="1" width="17.33203125" customWidth="1"/>
    <col min="2" max="2" width="16" customWidth="1"/>
    <col min="3" max="3" width="16.1640625" customWidth="1"/>
    <col min="4" max="4" width="23.83203125" customWidth="1"/>
    <col min="5" max="5" width="23" customWidth="1"/>
    <col min="6" max="6" width="21.6640625" customWidth="1"/>
    <col min="7" max="7" width="22.1640625" customWidth="1"/>
    <col min="8" max="8" width="23.6640625" customWidth="1"/>
  </cols>
  <sheetData>
    <row r="3" spans="3:8" ht="15.75" customHeight="1" x14ac:dyDescent="0.15">
      <c r="C3" s="1"/>
      <c r="D3" s="1" t="s">
        <v>132</v>
      </c>
      <c r="E3" s="1" t="s">
        <v>133</v>
      </c>
      <c r="F3" s="1" t="s">
        <v>134</v>
      </c>
      <c r="G3" s="1" t="s">
        <v>135</v>
      </c>
      <c r="H3" s="1" t="s">
        <v>136</v>
      </c>
    </row>
    <row r="4" spans="3:8" ht="15.75" customHeight="1" x14ac:dyDescent="0.15">
      <c r="C4" s="2">
        <v>1</v>
      </c>
      <c r="D4" s="2">
        <v>5271936</v>
      </c>
      <c r="E4" s="2">
        <v>2640278</v>
      </c>
      <c r="F4" s="2">
        <v>1321675</v>
      </c>
      <c r="G4" s="2">
        <v>1322316</v>
      </c>
      <c r="H4" s="2">
        <v>1323156</v>
      </c>
    </row>
    <row r="5" spans="3:8" ht="15.75" customHeight="1" x14ac:dyDescent="0.15">
      <c r="C5" s="2">
        <f t="shared" ref="C5:C33" si="0">C4+1</f>
        <v>2</v>
      </c>
      <c r="D5" s="2">
        <v>5260651</v>
      </c>
      <c r="E5" s="2">
        <v>2639565</v>
      </c>
      <c r="F5" s="2">
        <v>1333373</v>
      </c>
      <c r="G5" s="2">
        <v>1308867</v>
      </c>
      <c r="H5" s="2">
        <v>1319388</v>
      </c>
    </row>
    <row r="6" spans="3:8" ht="15.75" customHeight="1" x14ac:dyDescent="0.15">
      <c r="C6" s="2">
        <f t="shared" si="0"/>
        <v>3</v>
      </c>
      <c r="D6" s="2">
        <v>4758326</v>
      </c>
      <c r="E6" s="2">
        <v>2693894</v>
      </c>
      <c r="F6" s="2">
        <v>1326246</v>
      </c>
      <c r="G6" s="2">
        <v>1315349</v>
      </c>
      <c r="H6" s="2">
        <v>1173960</v>
      </c>
    </row>
    <row r="7" spans="3:8" ht="15.75" customHeight="1" x14ac:dyDescent="0.15">
      <c r="C7" s="2">
        <f t="shared" si="0"/>
        <v>4</v>
      </c>
      <c r="D7" s="2">
        <v>4901229</v>
      </c>
      <c r="E7" s="2">
        <v>2621611</v>
      </c>
      <c r="F7" s="2">
        <v>1319936</v>
      </c>
      <c r="G7" s="2">
        <v>1231051</v>
      </c>
      <c r="H7" s="2">
        <v>1162456</v>
      </c>
    </row>
    <row r="8" spans="3:8" ht="15.75" customHeight="1" x14ac:dyDescent="0.15">
      <c r="C8" s="2">
        <f t="shared" si="0"/>
        <v>5</v>
      </c>
      <c r="D8" s="2">
        <v>5214995</v>
      </c>
      <c r="E8" s="2">
        <v>2617818</v>
      </c>
      <c r="F8" s="2">
        <v>1319894</v>
      </c>
      <c r="G8" s="2">
        <v>1231423</v>
      </c>
      <c r="H8" s="2">
        <v>1310875</v>
      </c>
    </row>
    <row r="9" spans="3:8" ht="15.75" customHeight="1" x14ac:dyDescent="0.15">
      <c r="C9" s="2">
        <f t="shared" si="0"/>
        <v>6</v>
      </c>
      <c r="D9" s="2">
        <v>4471543</v>
      </c>
      <c r="E9" s="2">
        <v>2614123</v>
      </c>
      <c r="F9" s="2">
        <v>1319735</v>
      </c>
      <c r="G9" s="2">
        <v>1313350</v>
      </c>
      <c r="H9" s="2">
        <v>1308543</v>
      </c>
    </row>
    <row r="10" spans="3:8" ht="15.75" customHeight="1" x14ac:dyDescent="0.15">
      <c r="C10" s="2">
        <f t="shared" si="0"/>
        <v>7</v>
      </c>
      <c r="D10" s="2">
        <v>5222428</v>
      </c>
      <c r="E10" s="2">
        <v>2641284</v>
      </c>
      <c r="F10" s="2">
        <v>1313282</v>
      </c>
      <c r="G10" s="2">
        <v>1313349</v>
      </c>
      <c r="H10" s="2">
        <v>1316426</v>
      </c>
    </row>
    <row r="11" spans="3:8" ht="15.75" customHeight="1" x14ac:dyDescent="0.15">
      <c r="C11" s="2">
        <f t="shared" si="0"/>
        <v>8</v>
      </c>
      <c r="D11" s="2">
        <v>4863663</v>
      </c>
      <c r="E11" s="2">
        <v>2618488</v>
      </c>
      <c r="F11" s="2">
        <v>1308945</v>
      </c>
      <c r="G11" s="2">
        <v>1323462</v>
      </c>
      <c r="H11" s="2">
        <v>1308233</v>
      </c>
    </row>
    <row r="12" spans="3:8" ht="15.75" customHeight="1" x14ac:dyDescent="0.15">
      <c r="C12" s="2">
        <f t="shared" si="0"/>
        <v>9</v>
      </c>
      <c r="D12" s="2">
        <v>5252315</v>
      </c>
      <c r="E12" s="2">
        <v>2619648</v>
      </c>
      <c r="F12" s="2">
        <v>1317644</v>
      </c>
      <c r="G12" s="2">
        <v>1309837</v>
      </c>
      <c r="H12" s="2">
        <v>1314387</v>
      </c>
    </row>
    <row r="13" spans="3:8" ht="15.75" customHeight="1" x14ac:dyDescent="0.15">
      <c r="C13" s="2">
        <f t="shared" si="0"/>
        <v>10</v>
      </c>
      <c r="D13" s="2">
        <v>5273448</v>
      </c>
      <c r="E13" s="2">
        <v>2626710</v>
      </c>
      <c r="F13" s="2">
        <v>1347571</v>
      </c>
      <c r="G13" s="2">
        <v>1265728</v>
      </c>
      <c r="H13" s="2">
        <v>1316712</v>
      </c>
    </row>
    <row r="14" spans="3:8" ht="15.75" customHeight="1" x14ac:dyDescent="0.15">
      <c r="C14" s="2">
        <f t="shared" si="0"/>
        <v>11</v>
      </c>
      <c r="D14" s="2">
        <v>5057917</v>
      </c>
      <c r="E14" s="2">
        <v>2652299</v>
      </c>
      <c r="F14" s="2">
        <v>1307281</v>
      </c>
      <c r="G14" s="2">
        <v>1317546</v>
      </c>
      <c r="H14" s="2">
        <v>1310922</v>
      </c>
    </row>
    <row r="15" spans="3:8" ht="15.75" customHeight="1" x14ac:dyDescent="0.15">
      <c r="C15" s="2">
        <f t="shared" si="0"/>
        <v>12</v>
      </c>
      <c r="D15" s="2">
        <v>5301738</v>
      </c>
      <c r="E15" s="2">
        <v>2628840</v>
      </c>
      <c r="F15" s="2">
        <v>1327514</v>
      </c>
      <c r="G15" s="2">
        <v>1330710</v>
      </c>
      <c r="H15" s="2">
        <v>1315019</v>
      </c>
    </row>
    <row r="16" spans="3:8" ht="15.75" customHeight="1" x14ac:dyDescent="0.15">
      <c r="C16" s="2">
        <f t="shared" si="0"/>
        <v>13</v>
      </c>
      <c r="D16" s="2">
        <v>5287715</v>
      </c>
      <c r="E16" s="2">
        <v>2645611</v>
      </c>
      <c r="F16" s="2">
        <v>1317214</v>
      </c>
      <c r="G16" s="2">
        <v>1234023</v>
      </c>
      <c r="H16" s="2">
        <v>1315567</v>
      </c>
    </row>
    <row r="17" spans="3:8" ht="15.75" customHeight="1" x14ac:dyDescent="0.15">
      <c r="C17" s="2">
        <f t="shared" si="0"/>
        <v>14</v>
      </c>
      <c r="D17" s="2">
        <v>5271897</v>
      </c>
      <c r="E17" s="2">
        <v>2640645</v>
      </c>
      <c r="F17" s="2">
        <v>1320676</v>
      </c>
      <c r="G17" s="2">
        <v>1319970</v>
      </c>
      <c r="H17" s="2">
        <v>1318085</v>
      </c>
    </row>
    <row r="18" spans="3:8" ht="15.75" customHeight="1" x14ac:dyDescent="0.15">
      <c r="C18" s="2">
        <f t="shared" si="0"/>
        <v>15</v>
      </c>
      <c r="D18" s="2">
        <v>5270155</v>
      </c>
      <c r="E18" s="2">
        <v>2636438</v>
      </c>
      <c r="F18" s="2">
        <v>1314386</v>
      </c>
      <c r="G18" s="2">
        <v>1309140</v>
      </c>
      <c r="H18" s="2">
        <v>1314317</v>
      </c>
    </row>
    <row r="19" spans="3:8" ht="15.75" customHeight="1" x14ac:dyDescent="0.15">
      <c r="C19" s="2">
        <f t="shared" si="0"/>
        <v>16</v>
      </c>
      <c r="D19" s="2">
        <v>5313400</v>
      </c>
      <c r="E19" s="2">
        <v>2491228</v>
      </c>
      <c r="F19" s="2">
        <v>1330012</v>
      </c>
      <c r="G19" s="2">
        <v>1312859</v>
      </c>
      <c r="H19" s="2">
        <v>1313086</v>
      </c>
    </row>
    <row r="20" spans="3:8" ht="15.75" customHeight="1" x14ac:dyDescent="0.15">
      <c r="C20" s="2">
        <f t="shared" si="0"/>
        <v>17</v>
      </c>
      <c r="D20" s="2">
        <v>5307204</v>
      </c>
      <c r="E20" s="2">
        <v>2619462</v>
      </c>
      <c r="F20" s="2">
        <v>1332734</v>
      </c>
      <c r="G20" s="2">
        <v>1310425</v>
      </c>
      <c r="H20" s="2">
        <v>1235961</v>
      </c>
    </row>
    <row r="21" spans="3:8" ht="15.75" customHeight="1" x14ac:dyDescent="0.15">
      <c r="C21" s="2">
        <f t="shared" si="0"/>
        <v>18</v>
      </c>
      <c r="D21" s="2">
        <v>5053017</v>
      </c>
      <c r="E21" s="2">
        <v>2637821</v>
      </c>
      <c r="F21" s="2">
        <v>1329326</v>
      </c>
      <c r="G21" s="2">
        <v>1321146</v>
      </c>
      <c r="H21" s="2">
        <v>1315048</v>
      </c>
    </row>
    <row r="22" spans="3:8" ht="15.75" customHeight="1" x14ac:dyDescent="0.15">
      <c r="C22" s="2">
        <f t="shared" si="0"/>
        <v>19</v>
      </c>
      <c r="D22" s="2">
        <v>5341736</v>
      </c>
      <c r="E22" s="2">
        <v>2633243</v>
      </c>
      <c r="F22" s="2">
        <v>1316711</v>
      </c>
      <c r="G22" s="2">
        <v>1294530</v>
      </c>
      <c r="H22" s="2">
        <v>1316001</v>
      </c>
    </row>
    <row r="23" spans="3:8" ht="15.75" customHeight="1" x14ac:dyDescent="0.15">
      <c r="C23" s="2">
        <f t="shared" si="0"/>
        <v>20</v>
      </c>
      <c r="D23" s="2">
        <v>5292367</v>
      </c>
      <c r="E23" s="2">
        <v>2616190</v>
      </c>
      <c r="F23" s="2">
        <v>1310197</v>
      </c>
      <c r="G23" s="2">
        <v>1307749</v>
      </c>
      <c r="H23" s="2">
        <v>1223263</v>
      </c>
    </row>
    <row r="24" spans="3:8" ht="15.75" customHeight="1" x14ac:dyDescent="0.15">
      <c r="C24" s="2">
        <f t="shared" si="0"/>
        <v>21</v>
      </c>
      <c r="D24" s="2">
        <v>5298429</v>
      </c>
      <c r="E24" s="2">
        <v>2618948</v>
      </c>
      <c r="F24" s="2">
        <v>1303629</v>
      </c>
      <c r="G24" s="2">
        <v>1237645</v>
      </c>
      <c r="H24" s="2">
        <v>1315118</v>
      </c>
    </row>
    <row r="25" spans="3:8" ht="15.75" customHeight="1" x14ac:dyDescent="0.15">
      <c r="C25" s="2">
        <f t="shared" si="0"/>
        <v>22</v>
      </c>
      <c r="D25" s="2">
        <v>5300306</v>
      </c>
      <c r="E25" s="2">
        <v>2631691</v>
      </c>
      <c r="F25" s="2">
        <v>1361638</v>
      </c>
      <c r="G25" s="2">
        <v>1331986</v>
      </c>
      <c r="H25" s="2">
        <v>1322403</v>
      </c>
    </row>
    <row r="26" spans="3:8" ht="15.75" customHeight="1" x14ac:dyDescent="0.15">
      <c r="C26" s="2">
        <f t="shared" si="0"/>
        <v>23</v>
      </c>
      <c r="D26" s="2">
        <v>5300579</v>
      </c>
      <c r="E26" s="2">
        <v>2625671</v>
      </c>
      <c r="F26" s="2">
        <v>1322088</v>
      </c>
      <c r="G26" s="2">
        <v>1231070</v>
      </c>
      <c r="H26" s="2">
        <v>1313429</v>
      </c>
    </row>
    <row r="27" spans="3:8" ht="15.75" customHeight="1" x14ac:dyDescent="0.15">
      <c r="C27" s="2">
        <f t="shared" si="0"/>
        <v>24</v>
      </c>
      <c r="D27" s="2">
        <v>5270817</v>
      </c>
      <c r="E27" s="2">
        <v>2646540</v>
      </c>
      <c r="F27" s="2">
        <v>1315740</v>
      </c>
      <c r="G27" s="2">
        <v>1322505</v>
      </c>
      <c r="H27" s="2">
        <v>1334154</v>
      </c>
    </row>
    <row r="28" spans="3:8" ht="15.75" customHeight="1" x14ac:dyDescent="0.15">
      <c r="C28" s="2">
        <f t="shared" si="0"/>
        <v>25</v>
      </c>
      <c r="D28" s="2">
        <v>5272794</v>
      </c>
      <c r="E28" s="2">
        <v>2647493</v>
      </c>
      <c r="F28" s="2">
        <v>1320441</v>
      </c>
      <c r="G28" s="2">
        <v>1321613</v>
      </c>
      <c r="H28" s="2">
        <v>1319039</v>
      </c>
    </row>
    <row r="29" spans="3:8" ht="15.75" customHeight="1" x14ac:dyDescent="0.15">
      <c r="C29" s="2">
        <f t="shared" si="0"/>
        <v>26</v>
      </c>
      <c r="D29" s="2">
        <v>5270329</v>
      </c>
      <c r="E29" s="2">
        <v>2626543</v>
      </c>
      <c r="F29" s="2">
        <v>1325908</v>
      </c>
      <c r="G29" s="2">
        <v>1280385</v>
      </c>
      <c r="H29" s="2">
        <v>1320633</v>
      </c>
    </row>
    <row r="30" spans="3:8" ht="15.75" customHeight="1" x14ac:dyDescent="0.15">
      <c r="C30" s="2">
        <f t="shared" si="0"/>
        <v>27</v>
      </c>
      <c r="D30" s="2">
        <v>5322413</v>
      </c>
      <c r="E30" s="2">
        <v>2619682</v>
      </c>
      <c r="F30" s="2">
        <v>1310121</v>
      </c>
      <c r="G30" s="2">
        <v>1230576</v>
      </c>
      <c r="H30" s="2">
        <v>1217618</v>
      </c>
    </row>
    <row r="31" spans="3:8" ht="15.75" customHeight="1" x14ac:dyDescent="0.15">
      <c r="C31" s="2">
        <f t="shared" si="0"/>
        <v>28</v>
      </c>
      <c r="D31" s="2">
        <v>5258388</v>
      </c>
      <c r="E31" s="2">
        <v>2622343</v>
      </c>
      <c r="F31" s="2">
        <v>1313315</v>
      </c>
      <c r="G31" s="2">
        <v>1307015</v>
      </c>
      <c r="H31" s="2">
        <v>1226814</v>
      </c>
    </row>
    <row r="32" spans="3:8" ht="15.75" customHeight="1" x14ac:dyDescent="0.15">
      <c r="C32" s="2">
        <f t="shared" si="0"/>
        <v>29</v>
      </c>
      <c r="D32" s="2">
        <v>5276935</v>
      </c>
      <c r="E32" s="2">
        <v>2622828</v>
      </c>
      <c r="F32" s="2">
        <v>1323293</v>
      </c>
      <c r="G32" s="2">
        <v>1316526</v>
      </c>
      <c r="H32" s="2">
        <v>1229509</v>
      </c>
    </row>
    <row r="33" spans="1:8" ht="15.75" customHeight="1" x14ac:dyDescent="0.15">
      <c r="C33" s="2">
        <f t="shared" si="0"/>
        <v>30</v>
      </c>
      <c r="D33" s="2">
        <v>5163754</v>
      </c>
      <c r="E33" s="2">
        <v>2620267</v>
      </c>
      <c r="F33" s="2">
        <v>1319117</v>
      </c>
      <c r="G33" s="2">
        <v>1321878</v>
      </c>
      <c r="H33" s="2">
        <v>1319329</v>
      </c>
    </row>
    <row r="34" spans="1:8" ht="15.75" customHeight="1" x14ac:dyDescent="0.15">
      <c r="C34" s="1" t="s">
        <v>15</v>
      </c>
      <c r="D34" s="2">
        <f t="shared" ref="D34:H34" si="1">AVERAGE(D4:D33)</f>
        <v>5190747.4666666668</v>
      </c>
      <c r="E34" s="2">
        <f t="shared" si="1"/>
        <v>2627240.0666666669</v>
      </c>
      <c r="F34" s="2">
        <f t="shared" si="1"/>
        <v>1321654.7333333334</v>
      </c>
      <c r="G34" s="2">
        <f t="shared" si="1"/>
        <v>1296467.6333333333</v>
      </c>
      <c r="H34" s="2">
        <f t="shared" si="1"/>
        <v>1291648.3666666667</v>
      </c>
    </row>
    <row r="35" spans="1:8" ht="15.75" customHeight="1" x14ac:dyDescent="0.15">
      <c r="C35" s="1" t="s">
        <v>16</v>
      </c>
      <c r="D35" s="2">
        <f t="shared" ref="D35:H35" si="2">STDEV(D4:D33)</f>
        <v>197999.42368406782</v>
      </c>
      <c r="E35" s="2">
        <f t="shared" si="2"/>
        <v>30214.44136436945</v>
      </c>
      <c r="F35" s="2">
        <f t="shared" si="2"/>
        <v>11743.160430308104</v>
      </c>
      <c r="G35" s="2">
        <f t="shared" si="2"/>
        <v>35042.784399175907</v>
      </c>
      <c r="H35" s="2">
        <f t="shared" si="2"/>
        <v>47977.269103753941</v>
      </c>
    </row>
    <row r="36" spans="1:8" ht="15.75" customHeight="1" x14ac:dyDescent="0.15">
      <c r="A36" s="1" t="s">
        <v>7</v>
      </c>
      <c r="B36" s="1" t="s">
        <v>83</v>
      </c>
      <c r="C36" s="1" t="s">
        <v>47</v>
      </c>
    </row>
    <row r="37" spans="1:8" ht="15.75" customHeight="1" x14ac:dyDescent="0.15">
      <c r="A37" s="2">
        <f>STDEV(D4:D33)</f>
        <v>197999.42368406782</v>
      </c>
      <c r="B37" s="2">
        <f>AVERAGE(D4:D33)</f>
        <v>5190747.4666666668</v>
      </c>
      <c r="C37" s="2">
        <v>1</v>
      </c>
    </row>
    <row r="38" spans="1:8" ht="15.75" customHeight="1" x14ac:dyDescent="0.15">
      <c r="A38" s="2">
        <f>STDEV(E4:E33)</f>
        <v>30214.44136436945</v>
      </c>
      <c r="B38" s="2">
        <f>AVERAGE(E4:E33)</f>
        <v>2627240.0666666669</v>
      </c>
      <c r="C38" s="2">
        <v>2</v>
      </c>
    </row>
    <row r="39" spans="1:8" ht="15.75" customHeight="1" x14ac:dyDescent="0.15">
      <c r="A39" s="2">
        <f>STDEV(F4:F33)</f>
        <v>11743.160430308104</v>
      </c>
      <c r="B39" s="2">
        <f>AVERAGE(F4:F33)</f>
        <v>1321654.7333333334</v>
      </c>
      <c r="C39" s="2">
        <v>4</v>
      </c>
    </row>
    <row r="40" spans="1:8" ht="15.75" customHeight="1" x14ac:dyDescent="0.15">
      <c r="A40" s="2">
        <f>STDEV(G4:G33)</f>
        <v>35042.784399175907</v>
      </c>
      <c r="B40" s="2">
        <f>AVERAGE(G4:G33)</f>
        <v>1296467.6333333333</v>
      </c>
      <c r="C40" s="2">
        <v>8</v>
      </c>
    </row>
    <row r="41" spans="1:8" ht="15.75" customHeight="1" x14ac:dyDescent="0.15">
      <c r="A41" s="2">
        <f>STDEV(H4:H33)</f>
        <v>47977.269103753941</v>
      </c>
      <c r="B41" s="2">
        <f>AVERAGE(H4:H33)</f>
        <v>1291648.3666666667</v>
      </c>
      <c r="C41" s="2">
        <v>12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3:H41"/>
  <sheetViews>
    <sheetView workbookViewId="0"/>
  </sheetViews>
  <sheetFormatPr baseColWidth="10" defaultColWidth="12.6640625" defaultRowHeight="15.75" customHeight="1" x14ac:dyDescent="0.15"/>
  <cols>
    <col min="3" max="3" width="14.6640625" customWidth="1"/>
    <col min="4" max="4" width="24.6640625" customWidth="1"/>
    <col min="5" max="5" width="23.6640625" customWidth="1"/>
    <col min="6" max="6" width="25.6640625" customWidth="1"/>
    <col min="7" max="7" width="24.33203125" customWidth="1"/>
    <col min="8" max="8" width="22.5" customWidth="1"/>
  </cols>
  <sheetData>
    <row r="3" spans="3:8" ht="15.75" customHeight="1" x14ac:dyDescent="0.15">
      <c r="C3" s="1"/>
      <c r="D3" s="1" t="s">
        <v>137</v>
      </c>
      <c r="E3" s="1" t="s">
        <v>138</v>
      </c>
      <c r="F3" s="1" t="s">
        <v>139</v>
      </c>
      <c r="G3" s="1" t="s">
        <v>140</v>
      </c>
      <c r="H3" s="1" t="s">
        <v>141</v>
      </c>
    </row>
    <row r="4" spans="3:8" ht="15.75" customHeight="1" x14ac:dyDescent="0.15">
      <c r="C4" s="2">
        <v>1</v>
      </c>
      <c r="D4" s="2">
        <v>7577746</v>
      </c>
      <c r="E4" s="2">
        <v>3865279</v>
      </c>
      <c r="F4" s="2">
        <v>1965443</v>
      </c>
      <c r="G4" s="2">
        <v>1719303</v>
      </c>
      <c r="H4" s="2">
        <v>1936134</v>
      </c>
    </row>
    <row r="5" spans="3:8" ht="15.75" customHeight="1" x14ac:dyDescent="0.15">
      <c r="C5" s="2">
        <f t="shared" ref="C5:C33" si="0">C4+1</f>
        <v>2</v>
      </c>
      <c r="D5" s="2">
        <v>7629640</v>
      </c>
      <c r="E5" s="2">
        <v>3896612</v>
      </c>
      <c r="F5" s="2">
        <v>1939499</v>
      </c>
      <c r="G5" s="2">
        <v>1863363</v>
      </c>
      <c r="H5" s="2">
        <v>1926970</v>
      </c>
    </row>
    <row r="6" spans="3:8" ht="15.75" customHeight="1" x14ac:dyDescent="0.15">
      <c r="C6" s="2">
        <f t="shared" si="0"/>
        <v>3</v>
      </c>
      <c r="D6" s="2">
        <v>6120854</v>
      </c>
      <c r="E6" s="2">
        <v>3870327</v>
      </c>
      <c r="F6" s="2">
        <v>1930588</v>
      </c>
      <c r="G6" s="2">
        <v>1925206</v>
      </c>
      <c r="H6" s="2">
        <v>1954543</v>
      </c>
    </row>
    <row r="7" spans="3:8" ht="15.75" customHeight="1" x14ac:dyDescent="0.15">
      <c r="C7" s="2">
        <f t="shared" si="0"/>
        <v>4</v>
      </c>
      <c r="D7" s="2">
        <v>5994935</v>
      </c>
      <c r="E7" s="2">
        <v>3861529</v>
      </c>
      <c r="F7" s="2">
        <v>1929084</v>
      </c>
      <c r="G7" s="2">
        <v>1871016</v>
      </c>
      <c r="H7" s="2">
        <v>1803698</v>
      </c>
    </row>
    <row r="8" spans="3:8" ht="15.75" customHeight="1" x14ac:dyDescent="0.15">
      <c r="C8" s="2">
        <f t="shared" si="0"/>
        <v>5</v>
      </c>
      <c r="D8" s="2">
        <v>5984773</v>
      </c>
      <c r="E8" s="2">
        <v>3864287</v>
      </c>
      <c r="F8" s="2">
        <v>1920091</v>
      </c>
      <c r="G8" s="2">
        <v>1906735</v>
      </c>
      <c r="H8" s="2">
        <v>1890298</v>
      </c>
    </row>
    <row r="9" spans="3:8" ht="15.75" customHeight="1" x14ac:dyDescent="0.15">
      <c r="C9" s="2">
        <f t="shared" si="0"/>
        <v>6</v>
      </c>
      <c r="D9" s="2">
        <v>7704274</v>
      </c>
      <c r="E9" s="2">
        <v>3887891</v>
      </c>
      <c r="F9" s="2">
        <v>1922944</v>
      </c>
      <c r="G9" s="2">
        <v>1920840</v>
      </c>
      <c r="H9" s="2">
        <v>1932576</v>
      </c>
    </row>
    <row r="10" spans="3:8" ht="15.75" customHeight="1" x14ac:dyDescent="0.15">
      <c r="C10" s="2">
        <f t="shared" si="0"/>
        <v>7</v>
      </c>
      <c r="D10" s="2">
        <v>7023714</v>
      </c>
      <c r="E10" s="2">
        <v>3919932</v>
      </c>
      <c r="F10" s="2">
        <v>1941778</v>
      </c>
      <c r="G10" s="2">
        <v>1883310</v>
      </c>
      <c r="H10" s="2">
        <v>1932901</v>
      </c>
    </row>
    <row r="11" spans="3:8" ht="15.75" customHeight="1" x14ac:dyDescent="0.15">
      <c r="C11" s="2">
        <f t="shared" si="0"/>
        <v>8</v>
      </c>
      <c r="D11" s="2">
        <v>5984137</v>
      </c>
      <c r="E11" s="2">
        <v>3870253</v>
      </c>
      <c r="F11" s="2">
        <v>1948364</v>
      </c>
      <c r="G11" s="2">
        <v>1923493</v>
      </c>
      <c r="H11" s="2">
        <v>1917996</v>
      </c>
    </row>
    <row r="12" spans="3:8" ht="15.75" customHeight="1" x14ac:dyDescent="0.15">
      <c r="C12" s="2">
        <f t="shared" si="0"/>
        <v>9</v>
      </c>
      <c r="D12" s="2">
        <v>6018029</v>
      </c>
      <c r="E12" s="2">
        <v>3863833</v>
      </c>
      <c r="F12" s="2">
        <v>1933743</v>
      </c>
      <c r="G12" s="2">
        <v>1924737</v>
      </c>
      <c r="H12" s="2">
        <v>1879142</v>
      </c>
    </row>
    <row r="13" spans="3:8" ht="15.75" customHeight="1" x14ac:dyDescent="0.15">
      <c r="C13" s="2">
        <f t="shared" si="0"/>
        <v>10</v>
      </c>
      <c r="D13" s="2">
        <v>7775590</v>
      </c>
      <c r="E13" s="2">
        <v>3874119</v>
      </c>
      <c r="F13" s="2">
        <v>1930208</v>
      </c>
      <c r="G13" s="2">
        <v>1932959</v>
      </c>
      <c r="H13" s="2">
        <v>1936188</v>
      </c>
    </row>
    <row r="14" spans="3:8" ht="15.75" customHeight="1" x14ac:dyDescent="0.15">
      <c r="C14" s="2">
        <f t="shared" si="0"/>
        <v>11</v>
      </c>
      <c r="D14" s="2">
        <v>7754142</v>
      </c>
      <c r="E14" s="2">
        <v>3848192</v>
      </c>
      <c r="F14" s="2">
        <v>1930074</v>
      </c>
      <c r="G14" s="2">
        <v>1933428</v>
      </c>
      <c r="H14" s="2">
        <v>1815066</v>
      </c>
    </row>
    <row r="15" spans="3:8" ht="15.75" customHeight="1" x14ac:dyDescent="0.15">
      <c r="C15" s="2">
        <f t="shared" si="0"/>
        <v>12</v>
      </c>
      <c r="D15" s="2">
        <v>6635103</v>
      </c>
      <c r="E15" s="2">
        <v>3853243</v>
      </c>
      <c r="F15" s="2">
        <v>1935292</v>
      </c>
      <c r="G15" s="2">
        <v>1819040</v>
      </c>
      <c r="H15" s="2">
        <v>1932055</v>
      </c>
    </row>
    <row r="16" spans="3:8" ht="15.75" customHeight="1" x14ac:dyDescent="0.15">
      <c r="C16" s="2">
        <f t="shared" si="0"/>
        <v>13</v>
      </c>
      <c r="D16" s="2">
        <v>7757043</v>
      </c>
      <c r="E16" s="2">
        <v>3869726</v>
      </c>
      <c r="F16" s="2">
        <v>1926759</v>
      </c>
      <c r="G16" s="2">
        <v>1942689</v>
      </c>
      <c r="H16" s="2">
        <v>1932014</v>
      </c>
    </row>
    <row r="17" spans="3:8" ht="15.75" customHeight="1" x14ac:dyDescent="0.15">
      <c r="C17" s="2">
        <f t="shared" si="0"/>
        <v>14</v>
      </c>
      <c r="D17" s="2">
        <v>7763101</v>
      </c>
      <c r="E17" s="2">
        <v>3848292</v>
      </c>
      <c r="F17" s="2">
        <v>1934503</v>
      </c>
      <c r="G17" s="2">
        <v>1936721</v>
      </c>
      <c r="H17" s="2">
        <v>1793103</v>
      </c>
    </row>
    <row r="18" spans="3:8" ht="15.75" customHeight="1" x14ac:dyDescent="0.15">
      <c r="C18" s="2">
        <f t="shared" si="0"/>
        <v>15</v>
      </c>
      <c r="D18" s="2">
        <v>7770224</v>
      </c>
      <c r="E18" s="2">
        <v>3849011</v>
      </c>
      <c r="F18" s="2">
        <v>1930204</v>
      </c>
      <c r="G18" s="2">
        <v>1939219</v>
      </c>
      <c r="H18" s="2">
        <v>1813656</v>
      </c>
    </row>
    <row r="19" spans="3:8" ht="15.75" customHeight="1" x14ac:dyDescent="0.15">
      <c r="C19" s="2">
        <f t="shared" si="0"/>
        <v>16</v>
      </c>
      <c r="D19" s="2">
        <v>7814042</v>
      </c>
      <c r="E19" s="2">
        <v>3844551</v>
      </c>
      <c r="F19" s="2">
        <v>1930495</v>
      </c>
      <c r="G19" s="2">
        <v>1957188</v>
      </c>
      <c r="H19" s="2">
        <v>1818149</v>
      </c>
    </row>
    <row r="20" spans="3:8" ht="15.75" customHeight="1" x14ac:dyDescent="0.15">
      <c r="C20" s="2">
        <f t="shared" si="0"/>
        <v>17</v>
      </c>
      <c r="D20" s="2">
        <v>7765749</v>
      </c>
      <c r="E20" s="2">
        <v>3852334</v>
      </c>
      <c r="F20" s="2">
        <v>1929780</v>
      </c>
      <c r="G20" s="2">
        <v>1981213</v>
      </c>
      <c r="H20" s="2">
        <v>1925971</v>
      </c>
    </row>
    <row r="21" spans="3:8" ht="15.75" customHeight="1" x14ac:dyDescent="0.15">
      <c r="C21" s="2">
        <f t="shared" si="0"/>
        <v>18</v>
      </c>
      <c r="D21" s="2">
        <v>6276542</v>
      </c>
      <c r="E21" s="2">
        <v>3862400</v>
      </c>
      <c r="F21" s="2">
        <v>1935151</v>
      </c>
      <c r="G21" s="2">
        <v>1938970</v>
      </c>
      <c r="H21" s="2">
        <v>1925543</v>
      </c>
    </row>
    <row r="22" spans="3:8" ht="15.75" customHeight="1" x14ac:dyDescent="0.15">
      <c r="C22" s="2">
        <f t="shared" si="0"/>
        <v>19</v>
      </c>
      <c r="D22" s="2">
        <v>7663223</v>
      </c>
      <c r="E22" s="2">
        <v>3860128</v>
      </c>
      <c r="F22" s="2">
        <v>1936199</v>
      </c>
      <c r="G22" s="2">
        <v>1971542</v>
      </c>
      <c r="H22" s="2">
        <v>1947566</v>
      </c>
    </row>
    <row r="23" spans="3:8" ht="15.75" customHeight="1" x14ac:dyDescent="0.15">
      <c r="C23" s="2">
        <f t="shared" si="0"/>
        <v>20</v>
      </c>
      <c r="D23" s="2">
        <v>6903727</v>
      </c>
      <c r="E23" s="2">
        <v>3832442</v>
      </c>
      <c r="F23" s="2">
        <v>1928896</v>
      </c>
      <c r="G23" s="2">
        <v>1941923</v>
      </c>
      <c r="H23" s="2">
        <v>1803029</v>
      </c>
    </row>
    <row r="24" spans="3:8" ht="15.75" customHeight="1" x14ac:dyDescent="0.15">
      <c r="C24" s="2">
        <f t="shared" si="0"/>
        <v>21</v>
      </c>
      <c r="D24" s="2">
        <v>7741534</v>
      </c>
      <c r="E24" s="2">
        <v>3856316</v>
      </c>
      <c r="F24" s="2">
        <v>1928857</v>
      </c>
      <c r="G24" s="2">
        <v>1909067</v>
      </c>
      <c r="H24" s="2">
        <v>1928644</v>
      </c>
    </row>
    <row r="25" spans="3:8" ht="15.75" customHeight="1" x14ac:dyDescent="0.15">
      <c r="C25" s="2">
        <f t="shared" si="0"/>
        <v>22</v>
      </c>
      <c r="D25" s="2">
        <v>7672877</v>
      </c>
      <c r="E25" s="2">
        <v>3865179</v>
      </c>
      <c r="F25" s="2">
        <v>1953441</v>
      </c>
      <c r="G25" s="2">
        <v>1850904</v>
      </c>
      <c r="H25" s="2">
        <v>1940001</v>
      </c>
    </row>
    <row r="26" spans="3:8" ht="15.75" customHeight="1" x14ac:dyDescent="0.15">
      <c r="C26" s="2">
        <f t="shared" si="0"/>
        <v>23</v>
      </c>
      <c r="D26" s="2">
        <v>7699373</v>
      </c>
      <c r="E26" s="2">
        <v>3853968</v>
      </c>
      <c r="F26" s="2">
        <v>1941084</v>
      </c>
      <c r="G26" s="2">
        <v>1926678</v>
      </c>
      <c r="H26" s="2">
        <v>1927276</v>
      </c>
    </row>
    <row r="27" spans="3:8" ht="15.75" customHeight="1" x14ac:dyDescent="0.15">
      <c r="C27" s="2">
        <f t="shared" si="0"/>
        <v>24</v>
      </c>
      <c r="D27" s="2">
        <v>6825145</v>
      </c>
      <c r="E27" s="2">
        <v>3849678</v>
      </c>
      <c r="F27" s="2">
        <v>1940878</v>
      </c>
      <c r="G27" s="2">
        <v>1928307</v>
      </c>
      <c r="H27" s="2">
        <v>1926443</v>
      </c>
    </row>
    <row r="28" spans="3:8" ht="15.75" customHeight="1" x14ac:dyDescent="0.15">
      <c r="C28" s="2">
        <f t="shared" si="0"/>
        <v>25</v>
      </c>
      <c r="D28" s="2">
        <v>7775094</v>
      </c>
      <c r="E28" s="2">
        <v>3859506</v>
      </c>
      <c r="F28" s="2">
        <v>1920947</v>
      </c>
      <c r="G28" s="2">
        <v>1922110</v>
      </c>
      <c r="H28" s="2">
        <v>1923947</v>
      </c>
    </row>
    <row r="29" spans="3:8" ht="15.75" customHeight="1" x14ac:dyDescent="0.15">
      <c r="C29" s="2">
        <f t="shared" si="0"/>
        <v>26</v>
      </c>
      <c r="D29" s="2">
        <v>7769175</v>
      </c>
      <c r="E29" s="2">
        <v>3865918</v>
      </c>
      <c r="F29" s="2">
        <v>1916828</v>
      </c>
      <c r="G29" s="2">
        <v>1927471</v>
      </c>
      <c r="H29" s="2">
        <v>1931921</v>
      </c>
    </row>
    <row r="30" spans="3:8" ht="15.75" customHeight="1" x14ac:dyDescent="0.15">
      <c r="C30" s="2">
        <f t="shared" si="0"/>
        <v>27</v>
      </c>
      <c r="D30" s="2">
        <v>7070858</v>
      </c>
      <c r="E30" s="2">
        <v>3867047</v>
      </c>
      <c r="F30" s="2">
        <v>1947314</v>
      </c>
      <c r="G30" s="2">
        <v>1952582</v>
      </c>
      <c r="H30" s="2">
        <v>1801469</v>
      </c>
    </row>
    <row r="31" spans="3:8" ht="15.75" customHeight="1" x14ac:dyDescent="0.15">
      <c r="C31" s="2">
        <f t="shared" si="0"/>
        <v>28</v>
      </c>
      <c r="D31" s="2">
        <v>6021854</v>
      </c>
      <c r="E31" s="2">
        <v>3895525</v>
      </c>
      <c r="F31" s="2">
        <v>1930599</v>
      </c>
      <c r="G31" s="2">
        <v>1924812</v>
      </c>
      <c r="H31" s="2">
        <v>1810354</v>
      </c>
    </row>
    <row r="32" spans="3:8" ht="15.75" customHeight="1" x14ac:dyDescent="0.15">
      <c r="C32" s="2">
        <f t="shared" si="0"/>
        <v>29</v>
      </c>
      <c r="D32" s="2">
        <v>7738974</v>
      </c>
      <c r="E32" s="2">
        <v>3864742</v>
      </c>
      <c r="F32" s="2">
        <v>1929964</v>
      </c>
      <c r="G32" s="2">
        <v>1920117</v>
      </c>
      <c r="H32" s="2">
        <v>1789855</v>
      </c>
    </row>
    <row r="33" spans="1:8" ht="15.75" customHeight="1" x14ac:dyDescent="0.15">
      <c r="C33" s="2">
        <f t="shared" si="0"/>
        <v>30</v>
      </c>
      <c r="D33" s="2">
        <v>7359202</v>
      </c>
      <c r="E33" s="2">
        <v>3850056</v>
      </c>
      <c r="F33" s="2">
        <v>1922435</v>
      </c>
      <c r="G33" s="2">
        <v>1944621</v>
      </c>
      <c r="H33" s="2">
        <v>1816995</v>
      </c>
    </row>
    <row r="34" spans="1:8" ht="15.75" customHeight="1" x14ac:dyDescent="0.15">
      <c r="C34" s="1" t="s">
        <v>15</v>
      </c>
      <c r="D34" s="2">
        <f t="shared" ref="D34:H34" si="1">AVERAGE(D4:D33)</f>
        <v>7186355.7999999998</v>
      </c>
      <c r="E34" s="2">
        <f t="shared" si="1"/>
        <v>3864077.2</v>
      </c>
      <c r="F34" s="2">
        <f t="shared" si="1"/>
        <v>1933714.7333333334</v>
      </c>
      <c r="G34" s="2">
        <f t="shared" si="1"/>
        <v>1914652.1333333333</v>
      </c>
      <c r="H34" s="2">
        <f t="shared" si="1"/>
        <v>1887116.7666666666</v>
      </c>
    </row>
    <row r="35" spans="1:8" ht="15.75" customHeight="1" x14ac:dyDescent="0.15">
      <c r="C35" s="1" t="s">
        <v>16</v>
      </c>
      <c r="D35" s="2">
        <f t="shared" ref="D35:H35" si="2">STDEV(D4:D33)</f>
        <v>710032.20511235774</v>
      </c>
      <c r="E35" s="2">
        <f t="shared" si="2"/>
        <v>17555.525184691705</v>
      </c>
      <c r="F35" s="2">
        <f t="shared" si="2"/>
        <v>10341.96759420277</v>
      </c>
      <c r="G35" s="2">
        <f t="shared" si="2"/>
        <v>50413.327926960599</v>
      </c>
      <c r="H35" s="2">
        <f t="shared" si="2"/>
        <v>59790.608745154052</v>
      </c>
    </row>
    <row r="36" spans="1:8" ht="15.75" customHeight="1" x14ac:dyDescent="0.15">
      <c r="A36" s="1" t="s">
        <v>7</v>
      </c>
      <c r="B36" s="1" t="s">
        <v>83</v>
      </c>
      <c r="C36" s="1" t="s">
        <v>47</v>
      </c>
    </row>
    <row r="37" spans="1:8" ht="15.75" customHeight="1" x14ac:dyDescent="0.15">
      <c r="A37" s="2">
        <f>STDEV(D4:D33)</f>
        <v>710032.20511235774</v>
      </c>
      <c r="B37" s="2">
        <f>AVERAGE(D4:D33)</f>
        <v>7186355.7999999998</v>
      </c>
      <c r="C37" s="2">
        <v>1</v>
      </c>
    </row>
    <row r="38" spans="1:8" ht="15.75" customHeight="1" x14ac:dyDescent="0.15">
      <c r="A38" s="2">
        <f>STDEV(E4:E33)</f>
        <v>17555.525184691705</v>
      </c>
      <c r="B38" s="2">
        <f>AVERAGE(E4:E33)</f>
        <v>3864077.2</v>
      </c>
      <c r="C38" s="2">
        <v>2</v>
      </c>
    </row>
    <row r="39" spans="1:8" ht="15.75" customHeight="1" x14ac:dyDescent="0.15">
      <c r="A39" s="2">
        <f>STDEV(F4:F33)</f>
        <v>10341.96759420277</v>
      </c>
      <c r="B39" s="2">
        <f>AVERAGE(F4:F33)</f>
        <v>1933714.7333333334</v>
      </c>
      <c r="C39" s="2">
        <v>4</v>
      </c>
    </row>
    <row r="40" spans="1:8" ht="15.75" customHeight="1" x14ac:dyDescent="0.15">
      <c r="A40" s="2">
        <f>STDEV(G4:G33)</f>
        <v>50413.327926960599</v>
      </c>
      <c r="B40" s="2">
        <f>AVERAGE(G4:G33)</f>
        <v>1914652.1333333333</v>
      </c>
      <c r="C40" s="2">
        <v>8</v>
      </c>
    </row>
    <row r="41" spans="1:8" ht="15.75" customHeight="1" x14ac:dyDescent="0.15">
      <c r="A41" s="2">
        <f>STDEV(H4:H33)</f>
        <v>59790.608745154052</v>
      </c>
      <c r="B41" s="2">
        <f>AVERAGE(H4:H33)</f>
        <v>1887116.7666666666</v>
      </c>
      <c r="C41" s="2">
        <v>12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3:H41"/>
  <sheetViews>
    <sheetView workbookViewId="0"/>
  </sheetViews>
  <sheetFormatPr baseColWidth="10" defaultColWidth="12.6640625" defaultRowHeight="15.75" customHeight="1" x14ac:dyDescent="0.15"/>
  <cols>
    <col min="2" max="2" width="14.5" customWidth="1"/>
    <col min="3" max="3" width="16.83203125" customWidth="1"/>
    <col min="4" max="4" width="22.5" customWidth="1"/>
    <col min="5" max="5" width="25.1640625" customWidth="1"/>
    <col min="6" max="6" width="22.83203125" customWidth="1"/>
    <col min="7" max="7" width="20.6640625" customWidth="1"/>
    <col min="8" max="8" width="22.1640625" customWidth="1"/>
  </cols>
  <sheetData>
    <row r="3" spans="3:8" ht="15.75" customHeight="1" x14ac:dyDescent="0.15">
      <c r="C3" s="1"/>
      <c r="D3" s="1" t="s">
        <v>142</v>
      </c>
      <c r="E3" s="1" t="s">
        <v>143</v>
      </c>
      <c r="F3" s="1" t="s">
        <v>144</v>
      </c>
      <c r="G3" s="1" t="s">
        <v>145</v>
      </c>
      <c r="H3" s="1" t="s">
        <v>146</v>
      </c>
    </row>
    <row r="4" spans="3:8" ht="15.75" customHeight="1" x14ac:dyDescent="0.15">
      <c r="C4" s="2">
        <v>1</v>
      </c>
      <c r="D4" s="2">
        <v>12477169</v>
      </c>
      <c r="E4" s="2">
        <v>6302394</v>
      </c>
      <c r="F4" s="2">
        <v>3226723</v>
      </c>
      <c r="G4" s="2">
        <v>3001499</v>
      </c>
      <c r="H4" s="2">
        <v>3181272</v>
      </c>
    </row>
    <row r="5" spans="3:8" ht="15.75" customHeight="1" x14ac:dyDescent="0.15">
      <c r="C5" s="2">
        <f t="shared" ref="C5:C33" si="0">C4+1</f>
        <v>2</v>
      </c>
      <c r="D5" s="2">
        <v>12103322</v>
      </c>
      <c r="E5" s="2">
        <v>6347105</v>
      </c>
      <c r="F5" s="2">
        <v>3192684</v>
      </c>
      <c r="G5" s="2">
        <v>3168783</v>
      </c>
      <c r="H5" s="2">
        <v>3037730</v>
      </c>
    </row>
    <row r="6" spans="3:8" ht="15.75" customHeight="1" x14ac:dyDescent="0.15">
      <c r="C6" s="2">
        <f t="shared" si="0"/>
        <v>3</v>
      </c>
      <c r="D6" s="2">
        <v>9882625</v>
      </c>
      <c r="E6" s="2">
        <v>6246787</v>
      </c>
      <c r="F6" s="2">
        <v>3193899</v>
      </c>
      <c r="G6" s="2">
        <v>3177405</v>
      </c>
      <c r="H6" s="2">
        <v>2942573</v>
      </c>
    </row>
    <row r="7" spans="3:8" ht="15.75" customHeight="1" x14ac:dyDescent="0.15">
      <c r="C7" s="2">
        <f t="shared" si="0"/>
        <v>4</v>
      </c>
      <c r="D7" s="2">
        <v>9852621</v>
      </c>
      <c r="E7" s="2">
        <v>6347462</v>
      </c>
      <c r="F7" s="2">
        <v>3202014</v>
      </c>
      <c r="G7" s="2">
        <v>3188742</v>
      </c>
      <c r="H7" s="2">
        <v>2963987</v>
      </c>
    </row>
    <row r="8" spans="3:8" ht="15.75" customHeight="1" x14ac:dyDescent="0.15">
      <c r="C8" s="2">
        <f t="shared" si="0"/>
        <v>5</v>
      </c>
      <c r="D8" s="2">
        <v>12740448</v>
      </c>
      <c r="E8" s="2">
        <v>6346365</v>
      </c>
      <c r="F8" s="2">
        <v>3208077</v>
      </c>
      <c r="G8" s="2">
        <v>3170739</v>
      </c>
      <c r="H8" s="2">
        <v>3024268</v>
      </c>
    </row>
    <row r="9" spans="3:8" ht="15.75" customHeight="1" x14ac:dyDescent="0.15">
      <c r="C9" s="2">
        <f t="shared" si="0"/>
        <v>6</v>
      </c>
      <c r="D9" s="2">
        <v>12158592</v>
      </c>
      <c r="E9" s="2">
        <v>6311465</v>
      </c>
      <c r="F9" s="2">
        <v>3208844</v>
      </c>
      <c r="G9" s="2">
        <v>3152532</v>
      </c>
      <c r="H9" s="2">
        <v>2829119</v>
      </c>
    </row>
    <row r="10" spans="3:8" ht="15.75" customHeight="1" x14ac:dyDescent="0.15">
      <c r="C10" s="2">
        <f t="shared" si="0"/>
        <v>7</v>
      </c>
      <c r="D10" s="2">
        <v>10271690</v>
      </c>
      <c r="E10" s="2">
        <v>6323504</v>
      </c>
      <c r="F10" s="2">
        <v>3196737</v>
      </c>
      <c r="G10" s="2">
        <v>3155424</v>
      </c>
      <c r="H10" s="2">
        <v>3134772</v>
      </c>
    </row>
    <row r="11" spans="3:8" ht="15.75" customHeight="1" x14ac:dyDescent="0.15">
      <c r="C11" s="2">
        <f t="shared" si="0"/>
        <v>8</v>
      </c>
      <c r="D11" s="2">
        <v>12716891</v>
      </c>
      <c r="E11" s="2">
        <v>6394611</v>
      </c>
      <c r="F11" s="2">
        <v>3174640</v>
      </c>
      <c r="G11" s="2">
        <v>3094022</v>
      </c>
      <c r="H11" s="2">
        <v>2962349</v>
      </c>
    </row>
    <row r="12" spans="3:8" ht="15.75" customHeight="1" x14ac:dyDescent="0.15">
      <c r="C12" s="2">
        <f t="shared" si="0"/>
        <v>9</v>
      </c>
      <c r="D12" s="2">
        <v>12137920</v>
      </c>
      <c r="E12" s="2">
        <v>6327312</v>
      </c>
      <c r="F12" s="2">
        <v>3184764</v>
      </c>
      <c r="G12" s="2">
        <v>3103654</v>
      </c>
      <c r="H12" s="2">
        <v>3184693</v>
      </c>
    </row>
    <row r="13" spans="3:8" ht="15.75" customHeight="1" x14ac:dyDescent="0.15">
      <c r="C13" s="2">
        <f t="shared" si="0"/>
        <v>10</v>
      </c>
      <c r="D13" s="2">
        <v>11830349</v>
      </c>
      <c r="E13" s="2">
        <v>6311639</v>
      </c>
      <c r="F13" s="2">
        <v>3199785</v>
      </c>
      <c r="G13" s="2">
        <v>3235518</v>
      </c>
      <c r="H13" s="2">
        <v>3181680</v>
      </c>
    </row>
    <row r="14" spans="3:8" ht="15.75" customHeight="1" x14ac:dyDescent="0.15">
      <c r="C14" s="2">
        <f t="shared" si="0"/>
        <v>11</v>
      </c>
      <c r="D14" s="2">
        <v>10052891</v>
      </c>
      <c r="E14" s="2">
        <v>6319293</v>
      </c>
      <c r="F14" s="2">
        <v>3188506</v>
      </c>
      <c r="G14" s="2">
        <v>3019403</v>
      </c>
      <c r="H14" s="2">
        <v>3093998</v>
      </c>
    </row>
    <row r="15" spans="3:8" ht="15.75" customHeight="1" x14ac:dyDescent="0.15">
      <c r="C15" s="2">
        <f t="shared" si="0"/>
        <v>12</v>
      </c>
      <c r="D15" s="2">
        <v>12651834</v>
      </c>
      <c r="E15" s="2">
        <v>6339920</v>
      </c>
      <c r="F15" s="2">
        <v>3163069</v>
      </c>
      <c r="G15" s="2">
        <v>3179705</v>
      </c>
      <c r="H15" s="2">
        <v>3188951</v>
      </c>
    </row>
    <row r="16" spans="3:8" ht="15.75" customHeight="1" x14ac:dyDescent="0.15">
      <c r="C16" s="2">
        <f t="shared" si="0"/>
        <v>13</v>
      </c>
      <c r="D16" s="2">
        <v>12723719</v>
      </c>
      <c r="E16" s="2">
        <v>6320320</v>
      </c>
      <c r="F16" s="2">
        <v>3224060</v>
      </c>
      <c r="G16" s="2">
        <v>3162323</v>
      </c>
      <c r="H16" s="2">
        <v>2985877</v>
      </c>
    </row>
    <row r="17" spans="3:8" ht="15.75" customHeight="1" x14ac:dyDescent="0.15">
      <c r="C17" s="2">
        <f t="shared" si="0"/>
        <v>14</v>
      </c>
      <c r="D17" s="2">
        <v>11120472</v>
      </c>
      <c r="E17" s="2">
        <v>6341883</v>
      </c>
      <c r="F17" s="2">
        <v>3188555</v>
      </c>
      <c r="G17" s="2">
        <v>2866675</v>
      </c>
      <c r="H17" s="2">
        <v>3076969</v>
      </c>
    </row>
    <row r="18" spans="3:8" ht="15.75" customHeight="1" x14ac:dyDescent="0.15">
      <c r="C18" s="2">
        <f t="shared" si="0"/>
        <v>15</v>
      </c>
      <c r="D18" s="2">
        <v>12670036</v>
      </c>
      <c r="E18" s="2">
        <v>6327799</v>
      </c>
      <c r="F18" s="2">
        <v>3808995</v>
      </c>
      <c r="G18" s="2">
        <v>3151586</v>
      </c>
      <c r="H18" s="2">
        <v>3164856</v>
      </c>
    </row>
    <row r="19" spans="3:8" ht="15.75" customHeight="1" x14ac:dyDescent="0.15">
      <c r="C19" s="2">
        <f t="shared" si="0"/>
        <v>16</v>
      </c>
      <c r="D19" s="2">
        <v>12306076</v>
      </c>
      <c r="E19" s="2">
        <v>6334592</v>
      </c>
      <c r="F19" s="2">
        <v>3166292</v>
      </c>
      <c r="G19" s="2">
        <v>3043775</v>
      </c>
      <c r="H19" s="2">
        <v>3181559</v>
      </c>
    </row>
    <row r="20" spans="3:8" ht="15.75" customHeight="1" x14ac:dyDescent="0.15">
      <c r="C20" s="2">
        <f t="shared" si="0"/>
        <v>17</v>
      </c>
      <c r="D20" s="2">
        <v>9880627</v>
      </c>
      <c r="E20" s="2">
        <v>6335687</v>
      </c>
      <c r="F20" s="2">
        <v>3175833</v>
      </c>
      <c r="G20" s="2">
        <v>3139493</v>
      </c>
      <c r="H20" s="2">
        <v>3146446</v>
      </c>
    </row>
    <row r="21" spans="3:8" ht="15.75" customHeight="1" x14ac:dyDescent="0.15">
      <c r="C21" s="2">
        <f t="shared" si="0"/>
        <v>18</v>
      </c>
      <c r="D21" s="2">
        <v>12650610</v>
      </c>
      <c r="E21" s="2">
        <v>6310748</v>
      </c>
      <c r="F21" s="2">
        <v>3165189</v>
      </c>
      <c r="G21" s="2">
        <v>3169620</v>
      </c>
      <c r="H21" s="2">
        <v>3160382</v>
      </c>
    </row>
    <row r="22" spans="3:8" ht="15.75" customHeight="1" x14ac:dyDescent="0.15">
      <c r="C22" s="2">
        <f t="shared" si="0"/>
        <v>19</v>
      </c>
      <c r="D22" s="2">
        <v>12637255</v>
      </c>
      <c r="E22" s="2">
        <v>6335834</v>
      </c>
      <c r="F22" s="2">
        <v>3216095</v>
      </c>
      <c r="G22" s="2">
        <v>2998098</v>
      </c>
      <c r="H22" s="2">
        <v>2958838</v>
      </c>
    </row>
    <row r="23" spans="3:8" ht="15.75" customHeight="1" x14ac:dyDescent="0.15">
      <c r="C23" s="2">
        <f t="shared" si="0"/>
        <v>20</v>
      </c>
      <c r="D23" s="2">
        <v>12033770</v>
      </c>
      <c r="E23" s="2">
        <v>6289150</v>
      </c>
      <c r="F23" s="2">
        <v>3169411</v>
      </c>
      <c r="G23" s="2">
        <v>2894061</v>
      </c>
      <c r="H23" s="2">
        <v>3143130</v>
      </c>
    </row>
    <row r="24" spans="3:8" ht="15.75" customHeight="1" x14ac:dyDescent="0.15">
      <c r="C24" s="2">
        <f t="shared" si="0"/>
        <v>21</v>
      </c>
      <c r="D24" s="2">
        <v>12676685</v>
      </c>
      <c r="E24" s="2">
        <v>6344914</v>
      </c>
      <c r="F24" s="2">
        <v>3165236</v>
      </c>
      <c r="G24" s="2">
        <v>3130747</v>
      </c>
      <c r="H24" s="2">
        <v>3159202</v>
      </c>
    </row>
    <row r="25" spans="3:8" ht="15.75" customHeight="1" x14ac:dyDescent="0.15">
      <c r="C25" s="2">
        <f t="shared" si="0"/>
        <v>22</v>
      </c>
      <c r="D25" s="2">
        <v>12730655</v>
      </c>
      <c r="E25" s="2">
        <v>6320198</v>
      </c>
      <c r="F25" s="2">
        <v>3208790</v>
      </c>
      <c r="G25" s="2">
        <v>3179132</v>
      </c>
      <c r="H25" s="2">
        <v>3165187</v>
      </c>
    </row>
    <row r="26" spans="3:8" ht="15.75" customHeight="1" x14ac:dyDescent="0.15">
      <c r="C26" s="2">
        <f t="shared" si="0"/>
        <v>23</v>
      </c>
      <c r="D26" s="2">
        <v>10033110</v>
      </c>
      <c r="E26" s="2">
        <v>6329655</v>
      </c>
      <c r="F26" s="2">
        <v>3188019</v>
      </c>
      <c r="G26" s="2">
        <v>3158457</v>
      </c>
      <c r="H26" s="2">
        <v>3011234</v>
      </c>
    </row>
    <row r="27" spans="3:8" ht="15.75" customHeight="1" x14ac:dyDescent="0.15">
      <c r="C27" s="2">
        <f t="shared" si="0"/>
        <v>24</v>
      </c>
      <c r="D27" s="2">
        <v>9866586</v>
      </c>
      <c r="E27" s="2">
        <v>6331207</v>
      </c>
      <c r="F27" s="2">
        <v>3178186</v>
      </c>
      <c r="G27" s="2">
        <v>3175013</v>
      </c>
      <c r="H27" s="2">
        <v>3172618</v>
      </c>
    </row>
    <row r="28" spans="3:8" ht="15.75" customHeight="1" x14ac:dyDescent="0.15">
      <c r="C28" s="2">
        <f t="shared" si="0"/>
        <v>25</v>
      </c>
      <c r="D28" s="2">
        <v>12558668</v>
      </c>
      <c r="E28" s="2">
        <v>5938712</v>
      </c>
      <c r="F28" s="2">
        <v>3181278</v>
      </c>
      <c r="G28" s="2">
        <v>2999050</v>
      </c>
      <c r="H28" s="2">
        <v>2992796</v>
      </c>
    </row>
    <row r="29" spans="3:8" ht="15.75" customHeight="1" x14ac:dyDescent="0.15">
      <c r="C29" s="2">
        <f t="shared" si="0"/>
        <v>26</v>
      </c>
      <c r="D29" s="2">
        <v>10599042</v>
      </c>
      <c r="E29" s="2">
        <v>6349645</v>
      </c>
      <c r="F29" s="2">
        <v>3169762</v>
      </c>
      <c r="G29" s="2">
        <v>3143734</v>
      </c>
      <c r="H29" s="2">
        <v>3166596</v>
      </c>
    </row>
    <row r="30" spans="3:8" ht="15.75" customHeight="1" x14ac:dyDescent="0.15">
      <c r="C30" s="2">
        <f t="shared" si="0"/>
        <v>27</v>
      </c>
      <c r="D30" s="2">
        <v>12737481</v>
      </c>
      <c r="E30" s="2">
        <v>6351405</v>
      </c>
      <c r="F30" s="2">
        <v>3173649</v>
      </c>
      <c r="G30" s="2">
        <v>3077673</v>
      </c>
      <c r="H30" s="2">
        <v>3184770</v>
      </c>
    </row>
    <row r="31" spans="3:8" ht="15.75" customHeight="1" x14ac:dyDescent="0.15">
      <c r="C31" s="2">
        <f t="shared" si="0"/>
        <v>28</v>
      </c>
      <c r="D31" s="2">
        <v>12763736</v>
      </c>
      <c r="E31" s="2">
        <v>6350617</v>
      </c>
      <c r="F31" s="2">
        <v>3178884</v>
      </c>
      <c r="G31" s="2">
        <v>2997181</v>
      </c>
      <c r="H31" s="2">
        <v>3171730</v>
      </c>
    </row>
    <row r="32" spans="3:8" ht="15.75" customHeight="1" x14ac:dyDescent="0.15">
      <c r="C32" s="2">
        <f t="shared" si="0"/>
        <v>29</v>
      </c>
      <c r="D32" s="2">
        <v>12675044</v>
      </c>
      <c r="E32" s="2">
        <v>6139012</v>
      </c>
      <c r="F32" s="2">
        <v>3171338</v>
      </c>
      <c r="G32" s="2">
        <v>3141849</v>
      </c>
      <c r="H32" s="2">
        <v>3009687</v>
      </c>
    </row>
    <row r="33" spans="1:8" ht="15.75" customHeight="1" x14ac:dyDescent="0.15">
      <c r="C33" s="2">
        <f t="shared" si="0"/>
        <v>30</v>
      </c>
      <c r="D33" s="2">
        <v>11396867</v>
      </c>
      <c r="E33" s="2">
        <v>6362145</v>
      </c>
      <c r="F33" s="2">
        <v>3186456</v>
      </c>
      <c r="G33" s="2">
        <v>3168102</v>
      </c>
      <c r="H33" s="2">
        <v>3177046</v>
      </c>
    </row>
    <row r="34" spans="1:8" ht="15.75" customHeight="1" x14ac:dyDescent="0.15">
      <c r="C34" s="1" t="s">
        <v>15</v>
      </c>
      <c r="D34" s="2">
        <f t="shared" ref="D34:H34" si="1">AVERAGE(D4:D33)</f>
        <v>11764559.699999999</v>
      </c>
      <c r="E34" s="2">
        <f t="shared" si="1"/>
        <v>6311046</v>
      </c>
      <c r="F34" s="2">
        <f t="shared" si="1"/>
        <v>3208525.6666666665</v>
      </c>
      <c r="G34" s="2">
        <f t="shared" si="1"/>
        <v>3108133.1666666665</v>
      </c>
      <c r="H34" s="2">
        <f t="shared" si="1"/>
        <v>3091810.5</v>
      </c>
    </row>
    <row r="35" spans="1:8" ht="15.75" customHeight="1" x14ac:dyDescent="0.15">
      <c r="C35" s="1" t="s">
        <v>16</v>
      </c>
      <c r="D35" s="2">
        <f t="shared" ref="D35:H35" si="2">STDEV(D4:D33)</f>
        <v>1126541.4004936907</v>
      </c>
      <c r="E35" s="2">
        <f t="shared" si="2"/>
        <v>82517.239181924262</v>
      </c>
      <c r="F35" s="2">
        <f t="shared" si="2"/>
        <v>114798.26187538379</v>
      </c>
      <c r="G35" s="2">
        <f t="shared" si="2"/>
        <v>90511.429818934004</v>
      </c>
      <c r="H35" s="2">
        <f t="shared" si="2"/>
        <v>99667.757965722267</v>
      </c>
    </row>
    <row r="36" spans="1:8" ht="15.75" customHeight="1" x14ac:dyDescent="0.15">
      <c r="A36" s="1" t="s">
        <v>7</v>
      </c>
      <c r="B36" s="1" t="s">
        <v>83</v>
      </c>
      <c r="C36" s="1" t="s">
        <v>47</v>
      </c>
    </row>
    <row r="37" spans="1:8" ht="15.75" customHeight="1" x14ac:dyDescent="0.15">
      <c r="A37" s="2">
        <f>STDEV(D4:D33)</f>
        <v>1126541.4004936907</v>
      </c>
      <c r="B37" s="2">
        <f>AVERAGE(D4:D33)</f>
        <v>11764559.699999999</v>
      </c>
      <c r="C37" s="2">
        <v>1</v>
      </c>
    </row>
    <row r="38" spans="1:8" ht="15.75" customHeight="1" x14ac:dyDescent="0.15">
      <c r="A38" s="2">
        <f>STDEV(E4:E33)</f>
        <v>82517.239181924262</v>
      </c>
      <c r="B38" s="2">
        <f>AVERAGE(E4:E33)</f>
        <v>6311046</v>
      </c>
      <c r="C38" s="2">
        <v>2</v>
      </c>
    </row>
    <row r="39" spans="1:8" ht="15.75" customHeight="1" x14ac:dyDescent="0.15">
      <c r="A39" s="2">
        <f>STDEV(F4:F33)</f>
        <v>114798.26187538379</v>
      </c>
      <c r="B39" s="2">
        <f>AVERAGE(F4:F33)</f>
        <v>3208525.6666666665</v>
      </c>
      <c r="C39" s="2">
        <v>4</v>
      </c>
    </row>
    <row r="40" spans="1:8" ht="15.75" customHeight="1" x14ac:dyDescent="0.15">
      <c r="A40" s="2">
        <f>STDEV(G4:G33)</f>
        <v>90511.429818934004</v>
      </c>
      <c r="B40" s="2">
        <f>AVERAGE(G4:G33)</f>
        <v>3108133.1666666665</v>
      </c>
      <c r="C40" s="2">
        <v>8</v>
      </c>
    </row>
    <row r="41" spans="1:8" ht="15.75" customHeight="1" x14ac:dyDescent="0.15">
      <c r="A41" s="2">
        <f>STDEV(H4:H33)</f>
        <v>99667.757965722267</v>
      </c>
      <c r="B41" s="2">
        <f>AVERAGE(H4:H33)</f>
        <v>3091810.5</v>
      </c>
      <c r="C41" s="2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fork 500</vt:lpstr>
      <vt:lpstr>fokr 700</vt:lpstr>
      <vt:lpstr>fork 900</vt:lpstr>
      <vt:lpstr>fork 1200</vt:lpstr>
      <vt:lpstr>fork 1500</vt:lpstr>
      <vt:lpstr>fork 1700</vt:lpstr>
      <vt:lpstr>fork 2000</vt:lpstr>
      <vt:lpstr>posix500</vt:lpstr>
      <vt:lpstr>posix 700</vt:lpstr>
      <vt:lpstr>posix 900</vt:lpstr>
      <vt:lpstr>psoxi 1200</vt:lpstr>
      <vt:lpstr>posixx 1500</vt:lpstr>
      <vt:lpstr>posix 1700</vt:lpstr>
      <vt:lpstr>psoxi 2000</vt:lpstr>
      <vt:lpstr>clasica open 500</vt:lpstr>
      <vt:lpstr>c open 700</vt:lpstr>
      <vt:lpstr>c open 900</vt:lpstr>
      <vt:lpstr>c open 1200</vt:lpstr>
      <vt:lpstr>c open 1500</vt:lpstr>
      <vt:lpstr>c open 1700</vt:lpstr>
      <vt:lpstr>c open 2000</vt:lpstr>
      <vt:lpstr>filas open 500</vt:lpstr>
      <vt:lpstr>f open 700</vt:lpstr>
      <vt:lpstr>f open 900</vt:lpstr>
      <vt:lpstr>f oepn 1200</vt:lpstr>
      <vt:lpstr>f open 1500</vt:lpstr>
      <vt:lpstr>f open 1700</vt:lpstr>
      <vt:lpstr>f open 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Jesus Cepeda Vargas</cp:lastModifiedBy>
  <dcterms:modified xsi:type="dcterms:W3CDTF">2025-11-15T00:03:38Z</dcterms:modified>
</cp:coreProperties>
</file>